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00981A持股" sheetId="2" state="visible" r:id="rId4"/>
    <sheet name="00992A持股" sheetId="3" state="visible" r:id="rId5"/>
    <sheet name="交叉持股分析" sheetId="4" state="visible" r:id="rId6"/>
    <sheet name="00981A異動" sheetId="5" state="visible" r:id="rId7"/>
    <sheet name="00992A異動" sheetId="6" state="visible" r:id="rId8"/>
    <sheet name="說明與資料來源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<sst xmlns="http://schemas.openxmlformats.org/spreadsheetml/2006/main" count="343" uniqueCount="199">
  <si>
    <r>
      <rPr>
        <b val="true"/>
        <sz val="16"/>
        <color rgb="FFFFFFFF"/>
        <rFont val="Noto Sans CJK SC"/>
        <family val="2"/>
      </rPr>
      <t xml:space="preserve">主動式 </t>
    </r>
    <r>
      <rPr>
        <b val="true"/>
        <sz val="16"/>
        <color rgb="FFFFFFFF"/>
        <rFont val="Microsoft JhengHei"/>
        <family val="0"/>
        <charset val="1"/>
      </rPr>
      <t xml:space="preserve">ETF </t>
    </r>
    <r>
      <rPr>
        <b val="true"/>
        <sz val="16"/>
        <color rgb="FFFFFFFF"/>
        <rFont val="Noto Sans CJK SC"/>
        <family val="2"/>
      </rPr>
      <t xml:space="preserve">持股儀表板｜</t>
    </r>
    <r>
      <rPr>
        <b val="true"/>
        <sz val="16"/>
        <color rgb="FFFFFFFF"/>
        <rFont val="Microsoft JhengHei"/>
        <family val="0"/>
        <charset val="1"/>
      </rPr>
      <t xml:space="preserve">00981A × 00992A </t>
    </r>
    <r>
      <rPr>
        <b val="true"/>
        <sz val="16"/>
        <color rgb="FFFFFFFF"/>
        <rFont val="Noto Sans CJK SC"/>
        <family val="2"/>
      </rPr>
      <t xml:space="preserve">交叉分析</t>
    </r>
  </si>
  <si>
    <r>
      <rPr>
        <b val="true"/>
        <sz val="10"/>
        <rFont val="Noto Sans CJK SC"/>
        <family val="2"/>
      </rPr>
      <t xml:space="preserve">資料日期</t>
    </r>
    <r>
      <rPr>
        <b val="true"/>
        <sz val="10"/>
        <rFont val="Microsoft JhengHei"/>
        <family val="0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</si>
  <si>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2026-04-23 (</t>
    </r>
    <r>
      <rPr>
        <sz val="11"/>
        <color theme="1"/>
        <rFont val="Noto Sans CJK SC"/>
        <family val="2"/>
      </rPr>
      <t xml:space="preserve">示範資料</t>
    </r>
    <r>
      <rPr>
        <sz val="11"/>
        <color theme="1"/>
        <rFont val="Calibri"/>
        <family val="2"/>
        <charset val="1"/>
      </rPr>
      <t xml:space="preserve">,Claude </t>
    </r>
    <r>
      <rPr>
        <sz val="11"/>
        <color theme="1"/>
        <rFont val="Noto Sans CJK SC"/>
        <family val="2"/>
      </rPr>
      <t xml:space="preserve">整理自公開財經媒體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</si>
  <si>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分析主題</t>
    </r>
    <r>
      <rPr>
        <b val="true"/>
        <sz val="10"/>
        <rFont val="Microsoft JhengHei"/>
        <family val="0"/>
        <charset val="1"/>
      </rPr>
      <t xml:space="preserve">:</t>
    </r>
  </si>
  <si>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ETF </t>
    </r>
    <r>
      <rPr>
        <sz val="11"/>
        <color theme="1"/>
        <rFont val="Noto Sans CJK SC"/>
        <family val="2"/>
      </rPr>
      <t xml:space="preserve">交叉持股重疊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個月持股變化追蹤</t>
    </r>
  </si>
  <si>
    <t xml:space="preserve">指標</t>
  </si>
  <si>
    <r>
      <rPr>
        <b val="true"/>
        <sz val="11"/>
        <color rgb="FFFFFFFF"/>
        <rFont val="Microsoft JhengHei"/>
        <family val="0"/>
        <charset val="1"/>
      </rPr>
      <t xml:space="preserve">00981A </t>
    </r>
    <r>
      <rPr>
        <b val="true"/>
        <sz val="11"/>
        <color rgb="FFFFFFFF"/>
        <rFont val="Noto Sans CJK SC"/>
        <family val="2"/>
      </rPr>
      <t xml:space="preserve">主動統一台股增長</t>
    </r>
  </si>
  <si>
    <r>
      <rPr>
        <b val="true"/>
        <sz val="11"/>
        <color rgb="FFFFFFFF"/>
        <rFont val="Microsoft JhengHei"/>
        <family val="0"/>
        <charset val="1"/>
      </rPr>
      <t xml:space="preserve">00992A </t>
    </r>
    <r>
      <rPr>
        <b val="true"/>
        <sz val="11"/>
        <color rgb="FFFFFFFF"/>
        <rFont val="Noto Sans CJK SC"/>
        <family val="2"/>
      </rPr>
      <t xml:space="preserve">主動群益科技創新</t>
    </r>
  </si>
  <si>
    <t xml:space="preserve">發行商</t>
  </si>
  <si>
    <t xml:space="preserve">統一投信</t>
  </si>
  <si>
    <t xml:space="preserve">群益投信</t>
  </si>
  <si>
    <t xml:space="preserve">掛牌日期</t>
  </si>
  <si>
    <t xml:space="preserve">2025-05-15</t>
  </si>
  <si>
    <t xml:space="preserve">2025-12-30</t>
  </si>
  <si>
    <r>
      <rPr>
        <b val="true"/>
        <sz val="10"/>
        <rFont val="Noto Sans CJK SC"/>
        <family val="2"/>
      </rPr>
      <t xml:space="preserve">資產規模 </t>
    </r>
    <r>
      <rPr>
        <b val="true"/>
        <sz val="10"/>
        <rFont val="Microsoft JhengHe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億</t>
    </r>
    <r>
      <rPr>
        <b val="true"/>
        <sz val="10"/>
        <rFont val="Microsoft JhengHei"/>
        <family val="0"/>
        <charset val="1"/>
      </rPr>
      <t xml:space="preserve">TWD)</t>
    </r>
  </si>
  <si>
    <r>
      <rPr>
        <b val="true"/>
        <sz val="10"/>
        <rFont val="Microsoft JhengHei"/>
        <family val="0"/>
        <charset val="1"/>
      </rPr>
      <t xml:space="preserve">YTD </t>
    </r>
    <r>
      <rPr>
        <b val="true"/>
        <sz val="10"/>
        <rFont val="Noto Sans CJK SC"/>
        <family val="2"/>
      </rPr>
      <t xml:space="preserve">報酬率 </t>
    </r>
    <r>
      <rPr>
        <b val="true"/>
        <sz val="10"/>
        <rFont val="Microsoft JhengHei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</si>
  <si>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持股檔數 </t>
    </r>
    <r>
      <rPr>
        <b val="true"/>
        <sz val="10"/>
        <rFont val="Microsoft JhengHe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前</t>
    </r>
    <r>
      <rPr>
        <b val="true"/>
        <sz val="10"/>
        <rFont val="Microsoft JhengHei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大</t>
    </r>
    <r>
      <rPr>
        <b val="true"/>
        <sz val="10"/>
        <rFont val="Microsoft JhengHe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</si>
  <si>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前</t>
    </r>
    <r>
      <rPr>
        <b val="true"/>
        <sz val="10"/>
        <rFont val="Microsoft JhengHei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大合計權重 </t>
    </r>
    <r>
      <rPr>
        <b val="true"/>
        <sz val="10"/>
        <rFont val="Microsoft JhengHei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</si>
  <si>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前 </t>
    </r>
    <r>
      <rPr>
        <b val="true"/>
        <sz val="10"/>
        <rFont val="Microsoft JhengHei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大集中度 </t>
    </r>
    <r>
      <rPr>
        <b val="true"/>
        <sz val="10"/>
        <rFont val="Microsoft JhengHei"/>
        <family val="0"/>
        <charset val="1"/>
      </rPr>
      <t xml:space="preserve">(%)</t>
    </r>
  </si>
  <si>
    <t xml:space="preserve">第一大持股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</si>
  <si>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2330 (9.01%)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</si>
  <si>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2330 (6.87%)</t>
    </r>
  </si>
  <si>
    <t xml:space="preserve">第二大持股</t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</si>
  <si>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2383 (7.98%)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</si>
  <si>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2383 (4.51%)</t>
    </r>
  </si>
  <si>
    <t xml:space="preserve">核心觀察</t>
  </si>
  <si>
    <r>
      <rPr>
        <sz val="10"/>
        <rFont val="Microsoft JhengHei"/>
        <family val="0"/>
        <charset val="1"/>
      </rPr>
      <t xml:space="preserve">1. </t>
    </r>
    <r>
      <rPr>
        <sz val="10"/>
        <rFont val="Noto Sans CJK SC"/>
        <family val="2"/>
      </rPr>
      <t xml:space="preserve">兩檔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在核心持股策略上高度相似 </t>
    </r>
    <r>
      <rPr>
        <sz val="10"/>
        <rFont val="Microsoft JhengHei"/>
        <family val="0"/>
        <charset val="1"/>
      </rPr>
      <t xml:space="preserve">- </t>
    </r>
    <r>
      <rPr>
        <sz val="10"/>
        <rFont val="Noto Sans CJK SC"/>
        <family val="2"/>
      </rPr>
      <t xml:space="preserve">皆以 </t>
    </r>
    <r>
      <rPr>
        <sz val="10"/>
        <rFont val="Microsoft JhengHei"/>
        <family val="0"/>
        <charset val="1"/>
      </rPr>
      <t xml:space="preserve">AI/</t>
    </r>
    <r>
      <rPr>
        <sz val="10"/>
        <rFont val="Noto Sans CJK SC"/>
        <family val="2"/>
      </rPr>
      <t xml:space="preserve">半導體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光通訊為主題</t>
    </r>
  </si>
  <si>
    <r>
      <rPr>
        <sz val="10"/>
        <rFont val="Microsoft JhengHei"/>
        <family val="0"/>
        <charset val="1"/>
      </rPr>
      <t xml:space="preserve">2. 00981A </t>
    </r>
    <r>
      <rPr>
        <sz val="10"/>
        <rFont val="Noto Sans CJK SC"/>
        <family val="2"/>
      </rPr>
      <t xml:space="preserve">規模 </t>
    </r>
    <r>
      <rPr>
        <sz val="10"/>
        <rFont val="Microsoft JhengHei"/>
        <family val="0"/>
        <charset val="1"/>
      </rPr>
      <t xml:space="preserve">(1,833</t>
    </r>
    <r>
      <rPr>
        <sz val="10"/>
        <rFont val="Noto Sans CJK SC"/>
        <family val="2"/>
      </rPr>
      <t xml:space="preserve">億</t>
    </r>
    <r>
      <rPr>
        <sz val="10"/>
        <rFont val="Microsoft JhengHei"/>
        <family val="0"/>
        <charset val="1"/>
      </rPr>
      <t xml:space="preserve">) </t>
    </r>
    <r>
      <rPr>
        <sz val="10"/>
        <rFont val="Noto Sans CJK SC"/>
        <family val="2"/>
      </rPr>
      <t xml:space="preserve">顯著大於 </t>
    </r>
    <r>
      <rPr>
        <sz val="10"/>
        <rFont val="Microsoft JhengHei"/>
        <family val="0"/>
        <charset val="1"/>
      </rPr>
      <t xml:space="preserve">00992A (375</t>
    </r>
    <r>
      <rPr>
        <sz val="10"/>
        <rFont val="Noto Sans CJK SC"/>
        <family val="2"/>
      </rPr>
      <t xml:space="preserve">億</t>
    </r>
    <r>
      <rPr>
        <sz val="10"/>
        <rFont val="Microsoft JhengHei"/>
        <family val="0"/>
        <charset val="1"/>
      </rPr>
      <t xml:space="preserve">),</t>
    </r>
    <r>
      <rPr>
        <sz val="10"/>
        <rFont val="Noto Sans CJK SC"/>
        <family val="2"/>
      </rPr>
      <t xml:space="preserve">但 </t>
    </r>
    <r>
      <rPr>
        <sz val="10"/>
        <rFont val="Microsoft JhengHei"/>
        <family val="0"/>
        <charset val="1"/>
      </rPr>
      <t xml:space="preserve">YTD </t>
    </r>
    <r>
      <rPr>
        <sz val="10"/>
        <rFont val="Noto Sans CJK SC"/>
        <family val="2"/>
      </rPr>
      <t xml:space="preserve">報酬 </t>
    </r>
    <r>
      <rPr>
        <sz val="10"/>
        <rFont val="Microsoft JhengHei"/>
        <family val="0"/>
        <charset val="1"/>
      </rPr>
      <t xml:space="preserve">00992A </t>
    </r>
    <r>
      <rPr>
        <sz val="10"/>
        <rFont val="Noto Sans CJK SC"/>
        <family val="2"/>
      </rPr>
      <t xml:space="preserve">略勝</t>
    </r>
  </si>
  <si>
    <r>
      <rPr>
        <sz val="10"/>
        <rFont val="Microsoft JhengHei"/>
        <family val="0"/>
        <charset val="1"/>
      </rPr>
      <t xml:space="preserve">3. 00981A </t>
    </r>
    <r>
      <rPr>
        <sz val="10"/>
        <rFont val="Noto Sans CJK SC"/>
        <family val="2"/>
      </rPr>
      <t xml:space="preserve">更集中 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前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大 </t>
    </r>
    <r>
      <rPr>
        <sz val="10"/>
        <rFont val="Microsoft JhengHei"/>
        <family val="0"/>
        <charset val="1"/>
      </rPr>
      <t xml:space="preserve">~34%)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00992A </t>
    </r>
    <r>
      <rPr>
        <sz val="10"/>
        <rFont val="Noto Sans CJK SC"/>
        <family val="2"/>
      </rPr>
      <t xml:space="preserve">較分散 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前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大 </t>
    </r>
    <r>
      <rPr>
        <sz val="10"/>
        <rFont val="Microsoft JhengHei"/>
        <family val="0"/>
        <charset val="1"/>
      </rPr>
      <t xml:space="preserve">~23%)</t>
    </r>
  </si>
  <si>
    <r>
      <rPr>
        <sz val="10"/>
        <rFont val="Microsoft JhengHei"/>
        <family val="0"/>
        <charset val="1"/>
      </rPr>
      <t xml:space="preserve">4. </t>
    </r>
    <r>
      <rPr>
        <sz val="10"/>
        <rFont val="Noto Sans CJK SC"/>
        <family val="2"/>
      </rPr>
      <t xml:space="preserve">兩檔皆以台積電為第一大持股</t>
    </r>
    <r>
      <rPr>
        <sz val="10"/>
        <rFont val="Microsoft JhengHei"/>
        <family val="0"/>
        <charset val="1"/>
      </rPr>
      <t xml:space="preserve">,</t>
    </r>
    <r>
      <rPr>
        <sz val="10"/>
        <rFont val="Noto Sans CJK SC"/>
        <family val="2"/>
      </rPr>
      <t xml:space="preserve">但 </t>
    </r>
    <r>
      <rPr>
        <sz val="10"/>
        <rFont val="Microsoft JhengHei"/>
        <family val="0"/>
        <charset val="1"/>
      </rPr>
      <t xml:space="preserve">00981A </t>
    </r>
    <r>
      <rPr>
        <sz val="10"/>
        <rFont val="Noto Sans CJK SC"/>
        <family val="2"/>
      </rPr>
      <t xml:space="preserve">加碼更積極 </t>
    </r>
    <r>
      <rPr>
        <sz val="10"/>
        <rFont val="Microsoft JhengHei"/>
        <family val="0"/>
        <charset val="1"/>
      </rPr>
      <t xml:space="preserve">(9.01% vs 6.87%)</t>
    </r>
  </si>
  <si>
    <r>
      <rPr>
        <sz val="10"/>
        <rFont val="Microsoft JhengHei"/>
        <family val="0"/>
        <charset val="1"/>
      </rPr>
      <t xml:space="preserve">5. 2026/04/23 00981A </t>
    </r>
    <r>
      <rPr>
        <sz val="10"/>
        <rFont val="Noto Sans CJK SC"/>
        <family val="2"/>
      </rPr>
      <t xml:space="preserve">進行大洗牌</t>
    </r>
    <r>
      <rPr>
        <sz val="10"/>
        <rFont val="Microsoft JhengHei"/>
        <family val="0"/>
        <charset val="1"/>
      </rPr>
      <t xml:space="preserve">:</t>
    </r>
    <r>
      <rPr>
        <sz val="10"/>
        <rFont val="Noto Sans CJK SC"/>
        <family val="2"/>
      </rPr>
      <t xml:space="preserve">清倉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檔、加碼</t>
    </r>
    <r>
      <rPr>
        <sz val="10"/>
        <rFont val="Microsoft JhengHei"/>
        <family val="0"/>
        <charset val="1"/>
      </rPr>
      <t xml:space="preserve">2330/2383</t>
    </r>
    <r>
      <rPr>
        <sz val="10"/>
        <rFont val="Noto Sans CJK SC"/>
        <family val="2"/>
      </rPr>
      <t xml:space="preserve">、建倉譜瑞</t>
    </r>
    <r>
      <rPr>
        <sz val="10"/>
        <rFont val="Microsoft JhengHei"/>
        <family val="0"/>
        <charset val="1"/>
      </rPr>
      <t xml:space="preserve">-KY</t>
    </r>
  </si>
  <si>
    <r>
      <rPr>
        <sz val="10"/>
        <rFont val="Microsoft JhengHei"/>
        <family val="0"/>
        <charset val="1"/>
      </rPr>
      <t xml:space="preserve">6. 00992A </t>
    </r>
    <r>
      <rPr>
        <sz val="10"/>
        <rFont val="Noto Sans CJK SC"/>
        <family val="2"/>
      </rPr>
      <t xml:space="preserve">選股特色</t>
    </r>
    <r>
      <rPr>
        <sz val="10"/>
        <rFont val="Microsoft JhengHei"/>
        <family val="0"/>
        <charset val="1"/>
      </rPr>
      <t xml:space="preserve">:CPO/</t>
    </r>
    <r>
      <rPr>
        <sz val="10"/>
        <rFont val="Noto Sans CJK SC"/>
        <family val="2"/>
      </rPr>
      <t xml:space="preserve">矽光子佔比高 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穎崴、光聖、旺矽、群聯</t>
    </r>
    <r>
      <rPr>
        <sz val="10"/>
        <rFont val="Microsoft JhengHei"/>
        <family val="0"/>
        <charset val="1"/>
      </rPr>
      <t xml:space="preserve">)</t>
    </r>
  </si>
  <si>
    <r>
      <rPr>
        <b val="true"/>
        <sz val="14"/>
        <color rgb="FFFFFFFF"/>
        <rFont val="Microsoft JhengHei"/>
        <family val="0"/>
        <charset val="1"/>
      </rPr>
      <t xml:space="preserve">00981A </t>
    </r>
    <r>
      <rPr>
        <b val="true"/>
        <sz val="14"/>
        <color rgb="FFFFFFFF"/>
        <rFont val="Noto Sans CJK SC"/>
        <family val="2"/>
      </rPr>
      <t xml:space="preserve">主動統一台股增長 </t>
    </r>
    <r>
      <rPr>
        <b val="true"/>
        <sz val="14"/>
        <color rgb="FFFFFFFF"/>
        <rFont val="Microsoft Jheng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前 </t>
    </r>
    <r>
      <rPr>
        <b val="true"/>
        <sz val="14"/>
        <color rgb="FFFFFFFF"/>
        <rFont val="Microsoft JhengHei"/>
        <family val="0"/>
        <charset val="1"/>
      </rPr>
      <t xml:space="preserve">10 </t>
    </r>
    <r>
      <rPr>
        <b val="true"/>
        <sz val="14"/>
        <color rgb="FFFFFFFF"/>
        <rFont val="Noto Sans CJK SC"/>
        <family val="2"/>
      </rPr>
      <t xml:space="preserve">大持股明細 </t>
    </r>
    <r>
      <rPr>
        <b val="true"/>
        <sz val="14"/>
        <color rgb="FFFFFFFF"/>
        <rFont val="Microsoft JhengHei"/>
        <family val="0"/>
        <charset val="1"/>
      </rPr>
      <t xml:space="preserve">(2026-04-16)</t>
    </r>
  </si>
  <si>
    <t xml:space="preserve">排名</t>
  </si>
  <si>
    <t xml:space="preserve">股票代號</t>
  </si>
  <si>
    <t xml:space="preserve">股票名稱</t>
  </si>
  <si>
    <r>
      <rPr>
        <b val="true"/>
        <sz val="11"/>
        <color rgb="FFFFFFFF"/>
        <rFont val="Noto Sans CJK SC"/>
        <family val="2"/>
      </rPr>
      <t xml:space="preserve">權重 </t>
    </r>
    <r>
      <rPr>
        <b val="true"/>
        <sz val="11"/>
        <color rgb="FFFFFFFF"/>
        <rFont val="Microsoft JhengHei"/>
        <family val="0"/>
        <charset val="1"/>
      </rPr>
      <t xml:space="preserve">(%)</t>
    </r>
  </si>
  <si>
    <t xml:space="preserve">產業別</t>
  </si>
  <si>
    <t xml:space="preserve">交叉持股</t>
  </si>
  <si>
    <t xml:space="preserve">2330</t>
  </si>
  <si>
    <t xml:space="preserve">台積電</t>
  </si>
  <si>
    <t xml:space="preserve">半導體</t>
  </si>
  <si>
    <t xml:space="preserve">◆ 重疊</t>
  </si>
  <si>
    <t xml:space="preserve">2383</t>
  </si>
  <si>
    <t xml:space="preserve">台光電</t>
  </si>
  <si>
    <t xml:space="preserve">電子零組件</t>
  </si>
  <si>
    <t xml:space="preserve">2308</t>
  </si>
  <si>
    <t xml:space="preserve">台達電</t>
  </si>
  <si>
    <t xml:space="preserve">3653</t>
  </si>
  <si>
    <t xml:space="preserve">健策</t>
  </si>
  <si>
    <t xml:space="preserve">2368</t>
  </si>
  <si>
    <t xml:space="preserve">金像電</t>
  </si>
  <si>
    <t xml:space="preserve">2345</t>
  </si>
  <si>
    <t xml:space="preserve">智邦</t>
  </si>
  <si>
    <t xml:space="preserve">通信網路</t>
  </si>
  <si>
    <t xml:space="preserve">3017</t>
  </si>
  <si>
    <t xml:space="preserve">奇鋐</t>
  </si>
  <si>
    <t xml:space="preserve">電腦及週邊</t>
  </si>
  <si>
    <t xml:space="preserve">3665</t>
  </si>
  <si>
    <r>
      <rPr>
        <sz val="11"/>
        <color theme="1"/>
        <rFont val="Noto Sans CJK SC"/>
        <family val="2"/>
      </rPr>
      <t xml:space="preserve">貿聯</t>
    </r>
    <r>
      <rPr>
        <sz val="11"/>
        <color theme="1"/>
        <rFont val="Calibri"/>
        <family val="2"/>
        <charset val="1"/>
      </rPr>
      <t xml:space="preserve">-KY</t>
    </r>
  </si>
  <si>
    <t xml:space="preserve">6223</t>
  </si>
  <si>
    <t xml:space="preserve">旺矽</t>
  </si>
  <si>
    <t xml:space="preserve">8046</t>
  </si>
  <si>
    <t xml:space="preserve">南電</t>
  </si>
  <si>
    <r>
      <rPr>
        <b val="true"/>
        <sz val="11"/>
        <rFont val="Noto Sans CJK SC"/>
        <family val="2"/>
      </rPr>
      <t xml:space="preserve">前</t>
    </r>
    <r>
      <rPr>
        <b val="true"/>
        <sz val="11"/>
        <rFont val="Microsoft JhengHei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大合計</t>
    </r>
  </si>
  <si>
    <r>
      <rPr>
        <b val="true"/>
        <sz val="14"/>
        <color rgb="FFFFFFFF"/>
        <rFont val="Microsoft JhengHei"/>
        <family val="0"/>
        <charset val="1"/>
      </rPr>
      <t xml:space="preserve">00992A </t>
    </r>
    <r>
      <rPr>
        <b val="true"/>
        <sz val="14"/>
        <color rgb="FFFFFFFF"/>
        <rFont val="Noto Sans CJK SC"/>
        <family val="2"/>
      </rPr>
      <t xml:space="preserve">主動群益科技創新 </t>
    </r>
    <r>
      <rPr>
        <b val="true"/>
        <sz val="14"/>
        <color rgb="FFFFFFFF"/>
        <rFont val="Microsoft Jheng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前 </t>
    </r>
    <r>
      <rPr>
        <b val="true"/>
        <sz val="14"/>
        <color rgb="FFFFFFFF"/>
        <rFont val="Microsoft JhengHei"/>
        <family val="0"/>
        <charset val="1"/>
      </rPr>
      <t xml:space="preserve">10 </t>
    </r>
    <r>
      <rPr>
        <b val="true"/>
        <sz val="14"/>
        <color rgb="FFFFFFFF"/>
        <rFont val="Noto Sans CJK SC"/>
        <family val="2"/>
      </rPr>
      <t xml:space="preserve">大持股明細 </t>
    </r>
    <r>
      <rPr>
        <b val="true"/>
        <sz val="14"/>
        <color rgb="FFFFFFFF"/>
        <rFont val="Microsoft JhengHei"/>
        <family val="0"/>
        <charset val="1"/>
      </rPr>
      <t xml:space="preserve">(2026-04-16)</t>
    </r>
  </si>
  <si>
    <t xml:space="preserve">6442</t>
  </si>
  <si>
    <t xml:space="preserve">光聖</t>
  </si>
  <si>
    <t xml:space="preserve">8996</t>
  </si>
  <si>
    <t xml:space="preserve">高力</t>
  </si>
  <si>
    <t xml:space="preserve">3037</t>
  </si>
  <si>
    <t xml:space="preserve">欣興</t>
  </si>
  <si>
    <t xml:space="preserve">6515</t>
  </si>
  <si>
    <t xml:space="preserve">穎崴</t>
  </si>
  <si>
    <t xml:space="preserve">8299</t>
  </si>
  <si>
    <t xml:space="preserve">群聯</t>
  </si>
  <si>
    <r>
      <rPr>
        <b val="true"/>
        <sz val="14"/>
        <color rgb="FFFFFFFF"/>
        <rFont val="Noto Sans CJK SC"/>
        <family val="2"/>
      </rPr>
      <t xml:space="preserve">交叉持股分析｜</t>
    </r>
    <r>
      <rPr>
        <b val="true"/>
        <sz val="14"/>
        <color rgb="FFFFFFFF"/>
        <rFont val="Microsoft JhengHei"/>
        <family val="0"/>
        <charset val="1"/>
      </rPr>
      <t xml:space="preserve">00981A ∩ 00992A </t>
    </r>
    <r>
      <rPr>
        <b val="true"/>
        <sz val="14"/>
        <color rgb="FFFFFFFF"/>
        <rFont val="Noto Sans CJK SC"/>
        <family val="2"/>
      </rPr>
      <t xml:space="preserve">共同持有標的</t>
    </r>
  </si>
  <si>
    <r>
      <rPr>
        <b val="true"/>
        <sz val="11"/>
        <color rgb="FFFFFFFF"/>
        <rFont val="Microsoft JhengHei"/>
        <family val="0"/>
        <charset val="1"/>
      </rPr>
      <t xml:space="preserve">00981A </t>
    </r>
    <r>
      <rPr>
        <b val="true"/>
        <sz val="11"/>
        <color rgb="FFFFFFFF"/>
        <rFont val="Noto Sans CJK SC"/>
        <family val="2"/>
      </rPr>
      <t xml:space="preserve">權重 </t>
    </r>
    <r>
      <rPr>
        <b val="true"/>
        <sz val="11"/>
        <color rgb="FFFFFFFF"/>
        <rFont val="Microsoft JhengHei"/>
        <family val="0"/>
        <charset val="1"/>
      </rPr>
      <t xml:space="preserve">(%)</t>
    </r>
  </si>
  <si>
    <r>
      <rPr>
        <b val="true"/>
        <sz val="11"/>
        <color rgb="FFFFFFFF"/>
        <rFont val="Microsoft JhengHei"/>
        <family val="0"/>
        <charset val="1"/>
      </rPr>
      <t xml:space="preserve">00992A </t>
    </r>
    <r>
      <rPr>
        <b val="true"/>
        <sz val="11"/>
        <color rgb="FFFFFFFF"/>
        <rFont val="Noto Sans CJK SC"/>
        <family val="2"/>
      </rPr>
      <t xml:space="preserve">權重 </t>
    </r>
    <r>
      <rPr>
        <b val="true"/>
        <sz val="11"/>
        <color rgb="FFFFFFFF"/>
        <rFont val="Microsoft JhengHei"/>
        <family val="0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</si>
  <si>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權重合計 </t>
    </r>
    <r>
      <rPr>
        <b val="true"/>
        <sz val="11"/>
        <color rgb="FFFFFFFF"/>
        <rFont val="Microsoft JhengHei"/>
        <family val="0"/>
        <charset val="1"/>
      </rPr>
      <t xml:space="preserve">(%)</t>
    </r>
  </si>
  <si>
    <t xml:space="preserve">備註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</si>
  <si>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兩檔皆第一大持股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</si>
  <si>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龍頭 </t>
    </r>
    <r>
      <rPr>
        <sz val="11"/>
        <color theme="1"/>
        <rFont val="Calibri"/>
        <family val="2"/>
        <charset val="1"/>
      </rPr>
      <t xml:space="preserve">· AI </t>
    </r>
    <r>
      <rPr>
        <sz val="11"/>
        <color theme="1"/>
        <rFont val="Noto Sans CJK SC"/>
        <family val="2"/>
      </rPr>
      <t xml:space="preserve">伺服器受惠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</si>
  <si>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網通骨幹 </t>
    </r>
    <r>
      <rPr>
        <sz val="11"/>
        <color theme="1"/>
        <rFont val="Calibri"/>
        <family val="2"/>
        <charset val="1"/>
      </rPr>
      <t xml:space="preserve">· 800G </t>
    </r>
    <r>
      <rPr>
        <sz val="11"/>
        <color theme="1"/>
        <rFont val="Noto Sans CJK SC"/>
        <family val="2"/>
      </rPr>
      <t xml:space="preserve">交換器</t>
    </r>
  </si>
  <si>
    <r>
      <rPr>
        <sz val="11"/>
        <color theme="1"/>
        <rFont val="Noto Sans CJK SC"/>
        <family val="2"/>
      </rPr>
      <t xml:space="preserve">資料中心連接線 </t>
    </r>
    <r>
      <rPr>
        <sz val="11"/>
        <color theme="1"/>
        <rFont val="Calibri"/>
        <family val="2"/>
        <charset val="1"/>
      </rPr>
      <t xml:space="preserve">· AI </t>
    </r>
    <r>
      <rPr>
        <sz val="11"/>
        <color theme="1"/>
        <rFont val="Noto Sans CJK SC"/>
        <family val="2"/>
      </rPr>
      <t xml:space="preserve">受惠</t>
    </r>
  </si>
  <si>
    <r>
      <rPr>
        <sz val="11"/>
        <color theme="1"/>
        <rFont val="Noto Sans CJK SC"/>
        <family val="2"/>
      </rPr>
      <t xml:space="preserve">探針卡 </t>
    </r>
    <r>
      <rPr>
        <sz val="11"/>
        <color theme="1"/>
        <rFont val="Calibri"/>
        <family val="2"/>
        <charset val="1"/>
      </rPr>
      <t xml:space="preserve">· CPO </t>
    </r>
    <r>
      <rPr>
        <sz val="11"/>
        <color theme="1"/>
        <rFont val="Noto Sans CJK SC"/>
        <family val="2"/>
      </rPr>
      <t xml:space="preserve">測試設備</t>
    </r>
  </si>
  <si>
    <t xml:space="preserve">合計</t>
  </si>
  <si>
    <t xml:space="preserve">交叉持股解讀</t>
  </si>
  <si>
    <r>
      <rPr>
        <sz val="10"/>
        <rFont val="Noto Sans CJK SC"/>
        <family val="2"/>
      </rPr>
      <t xml:space="preserve">◆ 共 </t>
    </r>
    <r>
      <rPr>
        <sz val="10"/>
        <rFont val="Microsoft JhengHei"/>
        <family val="0"/>
        <charset val="1"/>
      </rPr>
      <t xml:space="preserve">5 </t>
    </r>
    <r>
      <rPr>
        <sz val="10"/>
        <rFont val="Noto Sans CJK SC"/>
        <family val="2"/>
      </rPr>
      <t xml:space="preserve">檔交叉持股</t>
    </r>
    <r>
      <rPr>
        <sz val="10"/>
        <rFont val="Microsoft JhengHei"/>
        <family val="0"/>
        <charset val="1"/>
      </rPr>
      <t xml:space="preserve">,</t>
    </r>
    <r>
      <rPr>
        <sz val="10"/>
        <rFont val="Noto Sans CJK SC"/>
        <family val="2"/>
      </rPr>
      <t xml:space="preserve">佔 </t>
    </r>
    <r>
      <rPr>
        <sz val="10"/>
        <rFont val="Microsoft JhengHei"/>
        <family val="0"/>
        <charset val="1"/>
      </rPr>
      <t xml:space="preserve">00981A </t>
    </r>
    <r>
      <rPr>
        <sz val="10"/>
        <rFont val="Noto Sans CJK SC"/>
        <family val="2"/>
      </rPr>
      <t xml:space="preserve">權重 </t>
    </r>
    <r>
      <rPr>
        <sz val="10"/>
        <rFont val="Microsoft JhengHei"/>
        <family val="0"/>
        <charset val="1"/>
      </rPr>
      <t xml:space="preserve">33.23% / </t>
    </r>
    <r>
      <rPr>
        <sz val="10"/>
        <rFont val="Noto Sans CJK SC"/>
        <family val="2"/>
      </rPr>
      <t xml:space="preserve">佔 </t>
    </r>
    <r>
      <rPr>
        <sz val="10"/>
        <rFont val="Microsoft JhengHei"/>
        <family val="0"/>
        <charset val="1"/>
      </rPr>
      <t xml:space="preserve">00992A </t>
    </r>
    <r>
      <rPr>
        <sz val="10"/>
        <rFont val="Noto Sans CJK SC"/>
        <family val="2"/>
      </rPr>
      <t xml:space="preserve">權重 </t>
    </r>
    <r>
      <rPr>
        <sz val="10"/>
        <rFont val="Microsoft JhengHei"/>
        <family val="0"/>
        <charset val="1"/>
      </rPr>
      <t xml:space="preserve">21.83%</t>
    </r>
  </si>
  <si>
    <r>
      <rPr>
        <sz val="10"/>
        <rFont val="Noto Sans CJK SC"/>
        <family val="2"/>
      </rPr>
      <t xml:space="preserve">◆ 台積電、台光電、智邦、貿聯</t>
    </r>
    <r>
      <rPr>
        <sz val="10"/>
        <rFont val="Microsoft JhengHei"/>
        <family val="0"/>
        <charset val="1"/>
      </rPr>
      <t xml:space="preserve">-KY</t>
    </r>
    <r>
      <rPr>
        <sz val="10"/>
        <rFont val="Noto Sans CJK SC"/>
        <family val="2"/>
      </rPr>
      <t xml:space="preserve">、旺矽為兩檔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的共同核心 → </t>
    </r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資料中心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光通訊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測試設備主軸</t>
    </r>
  </si>
  <si>
    <r>
      <rPr>
        <sz val="10"/>
        <rFont val="Microsoft JhengHei"/>
        <family val="0"/>
        <charset val="1"/>
      </rPr>
      <t xml:space="preserve">◆ 00981A </t>
    </r>
    <r>
      <rPr>
        <sz val="10"/>
        <rFont val="Noto Sans CJK SC"/>
        <family val="2"/>
      </rPr>
      <t xml:space="preserve">對重疊股的權重普遍高於 </t>
    </r>
    <r>
      <rPr>
        <sz val="10"/>
        <rFont val="Microsoft JhengHei"/>
        <family val="0"/>
        <charset val="1"/>
      </rPr>
      <t xml:space="preserve">00992A,</t>
    </r>
    <r>
      <rPr>
        <sz val="10"/>
        <rFont val="Noto Sans CJK SC"/>
        <family val="2"/>
      </rPr>
      <t xml:space="preserve">顯示 </t>
    </r>
    <r>
      <rPr>
        <sz val="10"/>
        <rFont val="Microsoft JhengHei"/>
        <family val="0"/>
        <charset val="1"/>
      </rPr>
      <t xml:space="preserve">00981A </t>
    </r>
    <r>
      <rPr>
        <sz val="10"/>
        <rFont val="Noto Sans CJK SC"/>
        <family val="2"/>
      </rPr>
      <t xml:space="preserve">更集中押注這些共識股</t>
    </r>
  </si>
  <si>
    <r>
      <rPr>
        <sz val="10"/>
        <rFont val="Noto Sans CJK SC"/>
        <family val="2"/>
      </rPr>
      <t xml:space="preserve">◆ 若持有兩檔 </t>
    </r>
    <r>
      <rPr>
        <sz val="10"/>
        <rFont val="Microsoft JhengHei"/>
        <family val="0"/>
        <charset val="1"/>
      </rPr>
      <t xml:space="preserve">ETF,</t>
    </r>
    <r>
      <rPr>
        <sz val="10"/>
        <rFont val="Noto Sans CJK SC"/>
        <family val="2"/>
      </rPr>
      <t xml:space="preserve">會在交叉持股上形成籌碼放大效應 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同買同賣共振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</si>
  <si>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Microsoft JhengHei"/>
        <family val="0"/>
        <charset val="1"/>
      </rPr>
      <t xml:space="preserve">◆ 00992A </t>
    </r>
    <r>
      <rPr>
        <sz val="10"/>
        <rFont val="Noto Sans CJK SC"/>
        <family val="2"/>
      </rPr>
      <t xml:space="preserve">獨有</t>
    </r>
    <r>
      <rPr>
        <sz val="10"/>
        <rFont val="Microsoft JhengHei"/>
        <family val="0"/>
        <charset val="1"/>
      </rPr>
      <t xml:space="preserve">:</t>
    </r>
    <r>
      <rPr>
        <sz val="10"/>
        <rFont val="Noto Sans CJK SC"/>
        <family val="2"/>
      </rPr>
      <t xml:space="preserve">光聖、高力、欣興、穎崴、群聯 → </t>
    </r>
    <r>
      <rPr>
        <sz val="10"/>
        <rFont val="Microsoft JhengHei"/>
        <family val="0"/>
        <charset val="1"/>
      </rPr>
      <t xml:space="preserve">CPO/</t>
    </r>
    <r>
      <rPr>
        <sz val="10"/>
        <rFont val="Noto Sans CJK SC"/>
        <family val="2"/>
      </rPr>
      <t xml:space="preserve">矽光子</t>
    </r>
    <r>
      <rPr>
        <sz val="10"/>
        <rFont val="Microsoft JhengHei"/>
        <family val="0"/>
        <charset val="1"/>
      </rPr>
      <t xml:space="preserve">/AI </t>
    </r>
    <r>
      <rPr>
        <sz val="10"/>
        <rFont val="Noto Sans CJK SC"/>
        <family val="2"/>
      </rPr>
      <t xml:space="preserve">液冷題材更聚焦</t>
    </r>
  </si>
  <si>
    <r>
      <rPr>
        <sz val="10"/>
        <rFont val="Microsoft JhengHei"/>
        <family val="0"/>
        <charset val="1"/>
      </rPr>
      <t xml:space="preserve">◆ 00981A </t>
    </r>
    <r>
      <rPr>
        <sz val="10"/>
        <rFont val="Noto Sans CJK SC"/>
        <family val="2"/>
      </rPr>
      <t xml:space="preserve">獨有</t>
    </r>
    <r>
      <rPr>
        <sz val="10"/>
        <rFont val="Microsoft JhengHei"/>
        <family val="0"/>
        <charset val="1"/>
      </rPr>
      <t xml:space="preserve">:</t>
    </r>
    <r>
      <rPr>
        <sz val="10"/>
        <rFont val="Noto Sans CJK SC"/>
        <family val="2"/>
      </rPr>
      <t xml:space="preserve">台達電、健策、金像電、奇鋐、南電 → </t>
    </r>
    <r>
      <rPr>
        <sz val="10"/>
        <rFont val="Microsoft JhengHei"/>
        <family val="0"/>
        <charset val="1"/>
      </rPr>
      <t xml:space="preserve">CCL/</t>
    </r>
    <r>
      <rPr>
        <sz val="10"/>
        <rFont val="Noto Sans CJK SC"/>
        <family val="2"/>
      </rPr>
      <t xml:space="preserve">散熱</t>
    </r>
    <r>
      <rPr>
        <sz val="10"/>
        <rFont val="Microsoft JhengHei"/>
        <family val="0"/>
        <charset val="1"/>
      </rPr>
      <t xml:space="preserve">/ABF </t>
    </r>
    <r>
      <rPr>
        <sz val="10"/>
        <rFont val="Noto Sans CJK SC"/>
        <family val="2"/>
      </rPr>
      <t xml:space="preserve">基板更廣</t>
    </r>
  </si>
  <si>
    <r>
      <rPr>
        <b val="true"/>
        <sz val="14"/>
        <color rgb="FFFFFFFF"/>
        <rFont val="Microsoft JhengHei"/>
        <family val="0"/>
        <charset val="1"/>
      </rPr>
      <t xml:space="preserve">00981A </t>
    </r>
    <r>
      <rPr>
        <b val="true"/>
        <sz val="14"/>
        <color rgb="FFFFFFFF"/>
        <rFont val="Noto Sans CJK SC"/>
        <family val="2"/>
      </rPr>
      <t xml:space="preserve">主動統一台股增長 </t>
    </r>
    <r>
      <rPr>
        <b val="true"/>
        <sz val="14"/>
        <color rgb="FFFFFFFF"/>
        <rFont val="Microsoft Jheng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近期持股異動明細</t>
    </r>
  </si>
  <si>
    <r>
      <rPr>
        <i val="true"/>
        <sz val="10"/>
        <rFont val="Noto Sans CJK SC"/>
        <family val="2"/>
      </rPr>
      <t xml:space="preserve">資料期間</t>
    </r>
    <r>
      <rPr>
        <i val="true"/>
        <sz val="10"/>
        <rFont val="Microsoft JhengHei"/>
        <family val="0"/>
        <charset val="1"/>
      </rPr>
      <t xml:space="preserve">: 2026-04-17 ~ 2026-04-23 (</t>
    </r>
    <r>
      <rPr>
        <i val="true"/>
        <sz val="10"/>
        <rFont val="Noto Sans CJK SC"/>
        <family val="2"/>
      </rPr>
      <t xml:space="preserve">每日揭露持股</t>
    </r>
    <r>
      <rPr>
        <i val="true"/>
        <sz val="10"/>
        <rFont val="Microsoft JhengHei"/>
        <family val="0"/>
        <charset val="1"/>
      </rPr>
      <t xml:space="preserve">)</t>
    </r>
  </si>
  <si>
    <t xml:space="preserve">日期</t>
  </si>
  <si>
    <t xml:space="preserve">動作</t>
  </si>
  <si>
    <t xml:space="preserve">異動明細</t>
  </si>
  <si>
    <t xml:space="preserve">2026-04-23</t>
  </si>
  <si>
    <t xml:space="preserve">新增建倉</t>
  </si>
  <si>
    <t xml:space="preserve">4966</t>
  </si>
  <si>
    <r>
      <rPr>
        <sz val="11"/>
        <color theme="1"/>
        <rFont val="Noto Sans CJK SC"/>
        <family val="2"/>
      </rPr>
      <t xml:space="preserve">譜瑞</t>
    </r>
    <r>
      <rPr>
        <sz val="11"/>
        <color theme="1"/>
        <rFont val="Calibri"/>
        <family val="2"/>
        <charset val="1"/>
      </rPr>
      <t xml:space="preserve">-KY</t>
    </r>
  </si>
  <si>
    <r>
      <rPr>
        <sz val="10"/>
        <rFont val="Consolas"/>
        <family val="0"/>
        <charset val="1"/>
      </rPr>
      <t xml:space="preserve">+370</t>
    </r>
    <r>
      <rPr>
        <sz val="10"/>
        <rFont val="Noto Sans CJK SC"/>
        <family val="2"/>
      </rPr>
      <t xml:space="preserve">張 約</t>
    </r>
    <r>
      <rPr>
        <sz val="10"/>
        <rFont val="Consolas"/>
        <family val="0"/>
        <charset val="1"/>
      </rPr>
      <t xml:space="preserve">2.22</t>
    </r>
    <r>
      <rPr>
        <sz val="10"/>
        <rFont val="Noto Sans CJK SC"/>
        <family val="2"/>
      </rPr>
      <t xml:space="preserve">億</t>
    </r>
    <r>
      <rPr>
        <sz val="10"/>
        <rFont val="Consolas"/>
        <family val="0"/>
        <charset val="1"/>
      </rPr>
      <t xml:space="preserve">,</t>
    </r>
    <r>
      <rPr>
        <sz val="10"/>
        <rFont val="Noto Sans CJK SC"/>
        <family val="2"/>
      </rPr>
      <t xml:space="preserve">進場價</t>
    </r>
    <r>
      <rPr>
        <sz val="10"/>
        <rFont val="Consolas"/>
        <family val="0"/>
        <charset val="1"/>
      </rPr>
      <t xml:space="preserve">~600</t>
    </r>
    <r>
      <rPr>
        <sz val="10"/>
        <rFont val="Noto Sans CJK SC"/>
        <family val="2"/>
      </rPr>
      <t xml:space="preserve">元</t>
    </r>
  </si>
  <si>
    <t xml:space="preserve">大幅加碼</t>
  </si>
  <si>
    <r>
      <rPr>
        <sz val="10"/>
        <rFont val="Consolas"/>
        <family val="0"/>
        <charset val="1"/>
      </rPr>
      <t xml:space="preserve">+895</t>
    </r>
    <r>
      <rPr>
        <sz val="10"/>
        <rFont val="Noto Sans CJK SC"/>
        <family val="2"/>
      </rPr>
      <t xml:space="preserve">張 </t>
    </r>
    <r>
      <rPr>
        <sz val="10"/>
        <rFont val="Consolas"/>
        <family val="0"/>
        <charset val="1"/>
      </rPr>
      <t xml:space="preserve">+18.61</t>
    </r>
    <r>
      <rPr>
        <sz val="10"/>
        <rFont val="Noto Sans CJK SC"/>
        <family val="2"/>
      </rPr>
      <t xml:space="preserve">億</t>
    </r>
    <r>
      <rPr>
        <sz val="10"/>
        <rFont val="Consolas"/>
        <family val="0"/>
        <charset val="1"/>
      </rPr>
      <t xml:space="preserve">,</t>
    </r>
    <r>
      <rPr>
        <sz val="10"/>
        <rFont val="Noto Sans CJK SC"/>
        <family val="2"/>
      </rPr>
      <t xml:space="preserve">權重升至</t>
    </r>
    <r>
      <rPr>
        <sz val="10"/>
        <rFont val="Consolas"/>
        <family val="0"/>
        <charset val="1"/>
      </rPr>
      <t xml:space="preserve">9.49%</t>
    </r>
  </si>
  <si>
    <r>
      <rPr>
        <sz val="10"/>
        <rFont val="Consolas"/>
        <family val="0"/>
        <charset val="1"/>
      </rPr>
      <t xml:space="preserve">+223</t>
    </r>
    <r>
      <rPr>
        <sz val="10"/>
        <rFont val="Noto Sans CJK SC"/>
        <family val="2"/>
      </rPr>
      <t xml:space="preserve">張 </t>
    </r>
    <r>
      <rPr>
        <sz val="10"/>
        <rFont val="Consolas"/>
        <family val="0"/>
        <charset val="1"/>
      </rPr>
      <t xml:space="preserve">+9.14</t>
    </r>
    <r>
      <rPr>
        <sz val="10"/>
        <rFont val="Noto Sans CJK SC"/>
        <family val="2"/>
      </rPr>
      <t xml:space="preserve">億</t>
    </r>
    <r>
      <rPr>
        <sz val="10"/>
        <rFont val="Consolas"/>
        <family val="0"/>
        <charset val="1"/>
      </rPr>
      <t xml:space="preserve">,</t>
    </r>
    <r>
      <rPr>
        <sz val="10"/>
        <rFont val="Noto Sans CJK SC"/>
        <family val="2"/>
      </rPr>
      <t xml:space="preserve">權重升至</t>
    </r>
    <r>
      <rPr>
        <sz val="10"/>
        <rFont val="Consolas"/>
        <family val="0"/>
        <charset val="1"/>
      </rPr>
      <t xml:space="preserve">8.02%</t>
    </r>
  </si>
  <si>
    <t xml:space="preserve">清倉移除</t>
  </si>
  <si>
    <t xml:space="preserve">—</t>
  </si>
  <si>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Noto Sans CJK SC"/>
        <family val="2"/>
      </rPr>
      <t xml:space="preserve">檔持股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</si>
  <si>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0"/>
        <rFont val="Noto Sans CJK SC"/>
        <family val="2"/>
      </rPr>
      <t xml:space="preserve">單日賣超約</t>
    </r>
    <r>
      <rPr>
        <sz val="10"/>
        <rFont val="Consolas"/>
        <family val="0"/>
        <charset val="1"/>
      </rPr>
      <t xml:space="preserve">32.89</t>
    </r>
    <r>
      <rPr>
        <sz val="10"/>
        <rFont val="Noto Sans CJK SC"/>
        <family val="2"/>
      </rPr>
      <t xml:space="preserve">億</t>
    </r>
  </si>
  <si>
    <t xml:space="preserve">2026-04-22</t>
  </si>
  <si>
    <t xml:space="preserve">2317</t>
  </si>
  <si>
    <t xml:space="preserve">鴻海</t>
  </si>
  <si>
    <t xml:space="preserve">首度建倉</t>
  </si>
  <si>
    <t xml:space="preserve">2026-04-21</t>
  </si>
  <si>
    <t xml:space="preserve">6415</t>
  </si>
  <si>
    <r>
      <rPr>
        <sz val="11"/>
        <color theme="1"/>
        <rFont val="Noto Sans CJK SC"/>
        <family val="2"/>
      </rPr>
      <t xml:space="preserve">矽力</t>
    </r>
    <r>
      <rPr>
        <sz val="11"/>
        <color theme="1"/>
        <rFont val="Calibri"/>
        <family val="2"/>
        <charset val="1"/>
      </rPr>
      <t xml:space="preserve">*-KY</t>
    </r>
  </si>
  <si>
    <r>
      <rPr>
        <sz val="10"/>
        <rFont val="Consolas"/>
        <family val="0"/>
        <charset val="1"/>
      </rPr>
      <t xml:space="preserve">+630</t>
    </r>
    <r>
      <rPr>
        <sz val="10"/>
        <rFont val="Noto Sans CJK SC"/>
        <family val="2"/>
      </rPr>
      <t xml:space="preserve">張</t>
    </r>
  </si>
  <si>
    <t xml:space="preserve">加碼</t>
  </si>
  <si>
    <r>
      <rPr>
        <sz val="10"/>
        <rFont val="Consolas"/>
        <family val="0"/>
        <charset val="1"/>
      </rPr>
      <t xml:space="preserve">+937</t>
    </r>
    <r>
      <rPr>
        <sz val="10"/>
        <rFont val="Noto Sans CJK SC"/>
        <family val="2"/>
      </rPr>
      <t xml:space="preserve">張</t>
    </r>
  </si>
  <si>
    <t xml:space="preserve">2454</t>
  </si>
  <si>
    <t xml:space="preserve">聯發科</t>
  </si>
  <si>
    <r>
      <rPr>
        <sz val="10"/>
        <rFont val="Consolas"/>
        <family val="0"/>
        <charset val="1"/>
      </rPr>
      <t xml:space="preserve">+726</t>
    </r>
    <r>
      <rPr>
        <sz val="10"/>
        <rFont val="Noto Sans CJK SC"/>
        <family val="2"/>
      </rPr>
      <t xml:space="preserve">張</t>
    </r>
  </si>
  <si>
    <t xml:space="preserve">2313</t>
  </si>
  <si>
    <t xml:space="preserve">華通</t>
  </si>
  <si>
    <r>
      <rPr>
        <sz val="10"/>
        <rFont val="Consolas"/>
        <family val="0"/>
        <charset val="1"/>
      </rPr>
      <t xml:space="preserve">+600</t>
    </r>
    <r>
      <rPr>
        <sz val="10"/>
        <rFont val="Noto Sans CJK SC"/>
        <family val="2"/>
      </rPr>
      <t xml:space="preserve">張</t>
    </r>
  </si>
  <si>
    <r>
      <rPr>
        <sz val="10"/>
        <rFont val="Consolas"/>
        <family val="0"/>
        <charset val="1"/>
      </rPr>
      <t xml:space="preserve">+502</t>
    </r>
    <r>
      <rPr>
        <sz val="10"/>
        <rFont val="Noto Sans CJK SC"/>
        <family val="2"/>
      </rPr>
      <t xml:space="preserve">張</t>
    </r>
  </si>
  <si>
    <r>
      <rPr>
        <sz val="10"/>
        <rFont val="Consolas"/>
        <family val="0"/>
        <charset val="1"/>
      </rPr>
      <t xml:space="preserve">+409</t>
    </r>
    <r>
      <rPr>
        <sz val="10"/>
        <rFont val="Noto Sans CJK SC"/>
        <family val="2"/>
      </rPr>
      <t xml:space="preserve">張</t>
    </r>
  </si>
  <si>
    <t xml:space="preserve">3661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</si>
  <si>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</si>
  <si>
    <r>
      <rPr>
        <sz val="10"/>
        <rFont val="Consolas"/>
        <family val="0"/>
        <charset val="1"/>
      </rPr>
      <t xml:space="preserve">+315</t>
    </r>
    <r>
      <rPr>
        <sz val="10"/>
        <rFont val="Noto Sans CJK SC"/>
        <family val="2"/>
      </rPr>
      <t xml:space="preserve">張</t>
    </r>
  </si>
  <si>
    <t xml:space="preserve">2303</t>
  </si>
  <si>
    <t xml:space="preserve">聯電</t>
  </si>
  <si>
    <r>
      <rPr>
        <sz val="10"/>
        <rFont val="Consolas"/>
        <family val="0"/>
        <charset val="1"/>
      </rPr>
      <t xml:space="preserve">+300</t>
    </r>
    <r>
      <rPr>
        <sz val="10"/>
        <rFont val="Noto Sans CJK SC"/>
        <family val="2"/>
      </rPr>
      <t xml:space="preserve">張</t>
    </r>
  </si>
  <si>
    <r>
      <rPr>
        <sz val="10"/>
        <rFont val="Consolas"/>
        <family val="0"/>
        <charset val="1"/>
      </rPr>
      <t xml:space="preserve">+243</t>
    </r>
    <r>
      <rPr>
        <sz val="10"/>
        <rFont val="Noto Sans CJK SC"/>
        <family val="2"/>
      </rPr>
      <t xml:space="preserve">張</t>
    </r>
  </si>
  <si>
    <r>
      <rPr>
        <sz val="10"/>
        <rFont val="Consolas"/>
        <family val="0"/>
        <charset val="1"/>
      </rPr>
      <t xml:space="preserve">+220</t>
    </r>
    <r>
      <rPr>
        <sz val="10"/>
        <rFont val="Noto Sans CJK SC"/>
        <family val="2"/>
      </rPr>
      <t xml:space="preserve">張</t>
    </r>
  </si>
  <si>
    <t xml:space="preserve">6669</t>
  </si>
  <si>
    <t xml:space="preserve">緯穎</t>
  </si>
  <si>
    <r>
      <rPr>
        <sz val="10"/>
        <rFont val="Consolas"/>
        <family val="0"/>
        <charset val="1"/>
      </rPr>
      <t xml:space="preserve">+212</t>
    </r>
    <r>
      <rPr>
        <sz val="10"/>
        <rFont val="Noto Sans CJK SC"/>
        <family val="2"/>
      </rPr>
      <t xml:space="preserve">張</t>
    </r>
  </si>
  <si>
    <t xml:space="preserve">3711</t>
  </si>
  <si>
    <t xml:space="preserve">日月光投控</t>
  </si>
  <si>
    <r>
      <rPr>
        <sz val="10"/>
        <rFont val="Consolas"/>
        <family val="0"/>
        <charset val="1"/>
      </rPr>
      <t xml:space="preserve">+202</t>
    </r>
    <r>
      <rPr>
        <sz val="10"/>
        <rFont val="Noto Sans CJK SC"/>
        <family val="2"/>
      </rPr>
      <t xml:space="preserve">張</t>
    </r>
  </si>
  <si>
    <r>
      <rPr>
        <sz val="10"/>
        <rFont val="Consolas"/>
        <family val="0"/>
        <charset val="1"/>
      </rPr>
      <t xml:space="preserve">+120</t>
    </r>
    <r>
      <rPr>
        <sz val="10"/>
        <rFont val="Noto Sans CJK SC"/>
        <family val="2"/>
      </rPr>
      <t xml:space="preserve">張</t>
    </r>
  </si>
  <si>
    <t xml:space="preserve">2449</t>
  </si>
  <si>
    <t xml:space="preserve">京元電子</t>
  </si>
  <si>
    <r>
      <rPr>
        <b val="true"/>
        <sz val="14"/>
        <color rgb="FFFFFFFF"/>
        <rFont val="Microsoft JhengHei"/>
        <family val="0"/>
        <charset val="1"/>
      </rPr>
      <t xml:space="preserve">00992A </t>
    </r>
    <r>
      <rPr>
        <b val="true"/>
        <sz val="14"/>
        <color rgb="FFFFFFFF"/>
        <rFont val="Noto Sans CJK SC"/>
        <family val="2"/>
      </rPr>
      <t xml:space="preserve">主動群益科技創新 </t>
    </r>
    <r>
      <rPr>
        <b val="true"/>
        <sz val="14"/>
        <color rgb="FFFFFFFF"/>
        <rFont val="Microsoft JhengHei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近期持股異動明細</t>
    </r>
  </si>
  <si>
    <t xml:space="preserve">6679</t>
  </si>
  <si>
    <t xml:space="preserve">鈺太</t>
  </si>
  <si>
    <t xml:space="preserve">短線強勢股布局</t>
  </si>
  <si>
    <r>
      <rPr>
        <sz val="10"/>
        <rFont val="Consolas"/>
        <family val="0"/>
        <charset val="1"/>
      </rPr>
      <t xml:space="preserve">CCL/</t>
    </r>
    <r>
      <rPr>
        <sz val="10"/>
        <rFont val="Noto Sans CJK SC"/>
        <family val="2"/>
      </rPr>
      <t xml:space="preserve">封裝基板主題</t>
    </r>
  </si>
  <si>
    <t xml:space="preserve">4977</t>
  </si>
  <si>
    <r>
      <rPr>
        <sz val="11"/>
        <color theme="1"/>
        <rFont val="Noto Sans CJK SC"/>
        <family val="2"/>
      </rPr>
      <t xml:space="preserve">眾達</t>
    </r>
    <r>
      <rPr>
        <sz val="11"/>
        <color theme="1"/>
        <rFont val="Calibri"/>
        <family val="2"/>
        <charset val="1"/>
      </rPr>
      <t xml:space="preserve">-KY</t>
    </r>
  </si>
  <si>
    <t xml:space="preserve">光模組主題持續押注</t>
  </si>
  <si>
    <r>
      <rPr>
        <sz val="10"/>
        <rFont val="Noto Sans CJK SC"/>
        <family val="2"/>
      </rPr>
      <t xml:space="preserve">光通訊權重 </t>
    </r>
    <r>
      <rPr>
        <sz val="10"/>
        <rFont val="Consolas"/>
        <family val="0"/>
        <charset val="1"/>
      </rPr>
      <t xml:space="preserve">3.80% </t>
    </r>
    <r>
      <rPr>
        <sz val="10"/>
        <rFont val="Noto Sans CJK SC"/>
        <family val="2"/>
      </rPr>
      <t xml:space="preserve">前 </t>
    </r>
    <r>
      <rPr>
        <sz val="10"/>
        <rFont val="Consolas"/>
        <family val="0"/>
        <charset val="1"/>
      </rPr>
      <t xml:space="preserve">5 </t>
    </r>
    <r>
      <rPr>
        <sz val="10"/>
        <rFont val="Noto Sans CJK SC"/>
        <family val="2"/>
      </rPr>
      <t xml:space="preserve">大</t>
    </r>
  </si>
  <si>
    <r>
      <rPr>
        <sz val="10"/>
        <rFont val="Consolas"/>
        <family val="0"/>
        <charset val="1"/>
      </rPr>
      <t xml:space="preserve">AI</t>
    </r>
    <r>
      <rPr>
        <sz val="10"/>
        <rFont val="Noto Sans CJK SC"/>
        <family val="2"/>
      </rPr>
      <t xml:space="preserve">液冷主題核心持股</t>
    </r>
  </si>
  <si>
    <t xml:space="preserve">2026-04-20</t>
  </si>
  <si>
    <t xml:space="preserve">3105</t>
  </si>
  <si>
    <t xml:space="preserve">穩懋</t>
  </si>
  <si>
    <r>
      <rPr>
        <sz val="10"/>
        <rFont val="Consolas"/>
        <family val="0"/>
        <charset val="1"/>
      </rPr>
      <t xml:space="preserve">CPO/</t>
    </r>
    <r>
      <rPr>
        <sz val="10"/>
        <rFont val="Noto Sans CJK SC"/>
        <family val="2"/>
      </rPr>
      <t xml:space="preserve">矽光子</t>
    </r>
    <r>
      <rPr>
        <sz val="10"/>
        <rFont val="Consolas"/>
        <family val="0"/>
        <charset val="1"/>
      </rPr>
      <t xml:space="preserve">/</t>
    </r>
    <r>
      <rPr>
        <sz val="10"/>
        <rFont val="Noto Sans CJK SC"/>
        <family val="2"/>
      </rPr>
      <t xml:space="preserve">砷化鎵</t>
    </r>
  </si>
  <si>
    <r>
      <rPr>
        <sz val="10"/>
        <rFont val="Consolas"/>
        <family val="0"/>
        <charset val="1"/>
      </rPr>
      <t xml:space="preserve">CPO/</t>
    </r>
    <r>
      <rPr>
        <sz val="10"/>
        <rFont val="Noto Sans CJK SC"/>
        <family val="2"/>
      </rPr>
      <t xml:space="preserve">矽光子 探針卡</t>
    </r>
  </si>
  <si>
    <t xml:space="preserve">2026-04-17</t>
  </si>
  <si>
    <t xml:space="preserve">持有</t>
  </si>
  <si>
    <r>
      <rPr>
        <sz val="10"/>
        <rFont val="Noto Sans CJK SC"/>
        <family val="2"/>
      </rPr>
      <t xml:space="preserve">維持第一大持股 </t>
    </r>
    <r>
      <rPr>
        <sz val="10"/>
        <rFont val="Consolas"/>
        <family val="0"/>
        <charset val="1"/>
      </rPr>
      <t xml:space="preserve">6.87%</t>
    </r>
  </si>
  <si>
    <t xml:space="preserve">資料來源、產出日期與說明</t>
  </si>
  <si>
    <t xml:space="preserve">產出日期</t>
  </si>
  <si>
    <r>
      <rPr>
        <sz val="10"/>
        <rFont val="Microsoft JhengHei"/>
        <family val="0"/>
        <charset val="1"/>
      </rPr>
      <t xml:space="preserve">2026-04-24 (Claude </t>
    </r>
    <r>
      <rPr>
        <sz val="10"/>
        <rFont val="Noto Sans CJK SC"/>
        <family val="2"/>
      </rPr>
      <t xml:space="preserve">研究整理</t>
    </r>
    <r>
      <rPr>
        <sz val="10"/>
        <rFont val="Microsoft JhengHei"/>
        <family val="0"/>
        <charset val="1"/>
      </rPr>
      <t xml:space="preserve">)</t>
    </r>
  </si>
  <si>
    <t xml:space="preserve">資料截止</t>
  </si>
  <si>
    <r>
      <rPr>
        <sz val="10"/>
        <rFont val="Microsoft JhengHei"/>
        <family val="0"/>
        <charset val="1"/>
      </rPr>
      <t xml:space="preserve">2026-04-23 (</t>
    </r>
    <r>
      <rPr>
        <sz val="10"/>
        <rFont val="Noto Sans CJK SC"/>
        <family val="2"/>
      </rPr>
      <t xml:space="preserve">主動式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每日揭露</t>
    </r>
    <r>
      <rPr>
        <sz val="10"/>
        <rFont val="Microsoft JhengHe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</si>
  <si>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分析 </t>
    </r>
    <r>
      <rPr>
        <b val="true"/>
        <sz val="10"/>
        <rFont val="Microsoft JhengHei"/>
        <family val="0"/>
        <charset val="1"/>
      </rPr>
      <t xml:space="preserve">ETF</t>
    </r>
  </si>
  <si>
    <r>
      <rPr>
        <sz val="10"/>
        <rFont val="Microsoft JhengHei"/>
        <family val="0"/>
        <charset val="1"/>
      </rPr>
      <t xml:space="preserve">00981A </t>
    </r>
    <r>
      <rPr>
        <sz val="10"/>
        <rFont val="Noto Sans CJK SC"/>
        <family val="2"/>
      </rPr>
      <t xml:space="preserve">主動統一台股增長 </t>
    </r>
    <r>
      <rPr>
        <sz val="10"/>
        <rFont val="Microsoft JhengHei"/>
        <family val="0"/>
        <charset val="1"/>
      </rPr>
      <t xml:space="preserve">× 00992A </t>
    </r>
    <r>
      <rPr>
        <sz val="10"/>
        <rFont val="Noto Sans CJK SC"/>
        <family val="2"/>
      </rPr>
      <t xml:space="preserve">主動群益科技創新</t>
    </r>
  </si>
  <si>
    <t xml:space="preserve">分析時間範圍</t>
  </si>
  <si>
    <r>
      <rPr>
        <sz val="10"/>
        <rFont val="Noto Sans CJK SC"/>
        <family val="2"/>
      </rPr>
      <t xml:space="preserve">近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個月 </t>
    </r>
    <r>
      <rPr>
        <sz val="10"/>
        <rFont val="Microsoft JhengHei"/>
        <family val="0"/>
        <charset val="1"/>
      </rPr>
      <t xml:space="preserve">(2026-01-24 ~ 2026-04-24)</t>
    </r>
  </si>
  <si>
    <t xml:space="preserve">分析主題</t>
  </si>
  <si>
    <r>
      <rPr>
        <sz val="10"/>
        <rFont val="Noto Sans CJK SC"/>
        <family val="2"/>
      </rPr>
      <t xml:space="preserve">多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交叉持股重疊 </t>
    </r>
    <r>
      <rPr>
        <sz val="10"/>
        <rFont val="Microsoft JhengHei"/>
        <family val="0"/>
        <charset val="1"/>
      </rPr>
      <t xml:space="preserve">+ </t>
    </r>
    <r>
      <rPr>
        <sz val="10"/>
        <rFont val="Noto Sans CJK SC"/>
        <family val="2"/>
      </rPr>
      <t xml:space="preserve">持股變化追蹤 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換股</t>
    </r>
    <r>
      <rPr>
        <sz val="10"/>
        <rFont val="Microsoft JhengHe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</si>
  <si>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</si>
  <si>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旺得富理財網 </t>
    </r>
    <r>
      <rPr>
        <sz val="10"/>
        <rFont val="Microsoft JhengHei"/>
        <family val="0"/>
        <charset val="1"/>
      </rPr>
      <t xml:space="preserve">2026/04/16 - 00981A/00992A </t>
    </r>
    <r>
      <rPr>
        <sz val="10"/>
        <rFont val="Noto Sans CJK SC"/>
        <family val="2"/>
      </rPr>
      <t xml:space="preserve">前 </t>
    </r>
    <r>
      <rPr>
        <sz val="10"/>
        <rFont val="Microsoft JhengHei"/>
        <family val="0"/>
        <charset val="1"/>
      </rPr>
      <t xml:space="preserve">10 </t>
    </r>
    <r>
      <rPr>
        <sz val="10"/>
        <rFont val="Noto Sans CJK SC"/>
        <family val="2"/>
      </rPr>
      <t xml:space="preserve">大持股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</si>
  <si>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2</t>
    </r>
  </si>
  <si>
    <r>
      <rPr>
        <sz val="10"/>
        <rFont val="Microsoft JhengHei"/>
        <family val="0"/>
        <charset val="1"/>
      </rPr>
      <t xml:space="preserve">CMoney </t>
    </r>
    <r>
      <rPr>
        <sz val="10"/>
        <rFont val="Noto Sans CJK SC"/>
        <family val="2"/>
      </rPr>
      <t xml:space="preserve">股市爆料同學會 </t>
    </r>
    <r>
      <rPr>
        <sz val="10"/>
        <rFont val="Microsoft JhengHei"/>
        <family val="0"/>
        <charset val="1"/>
      </rPr>
      <t xml:space="preserve">2026/04/21 - 00981A </t>
    </r>
    <r>
      <rPr>
        <sz val="10"/>
        <rFont val="Noto Sans CJK SC"/>
        <family val="2"/>
      </rPr>
      <t xml:space="preserve">每日操作明細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</si>
  <si>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</si>
  <si>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統一投信官網每日持股揭露 </t>
    </r>
    <r>
      <rPr>
        <sz val="10"/>
        <rFont val="Microsoft JhengHei"/>
        <family val="0"/>
        <charset val="1"/>
      </rPr>
      <t xml:space="preserve">2026/04/23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</si>
  <si>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4</t>
    </r>
  </si>
  <si>
    <r>
      <rPr>
        <sz val="10"/>
        <rFont val="Microsoft JhengHei"/>
        <family val="0"/>
        <charset val="1"/>
      </rPr>
      <t xml:space="preserve">Newtalk </t>
    </r>
    <r>
      <rPr>
        <sz val="10"/>
        <rFont val="Noto Sans CJK SC"/>
        <family val="2"/>
      </rPr>
      <t xml:space="preserve">新聞 </t>
    </r>
    <r>
      <rPr>
        <sz val="10"/>
        <rFont val="Microsoft JhengHei"/>
        <family val="0"/>
        <charset val="1"/>
      </rPr>
      <t xml:space="preserve">2026/04/24 - 00981A </t>
    </r>
    <r>
      <rPr>
        <sz val="10"/>
        <rFont val="Noto Sans CJK SC"/>
        <family val="2"/>
      </rPr>
      <t xml:space="preserve">結構大洗牌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</si>
  <si>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</si>
  <si>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聯合新聞網 </t>
    </r>
    <r>
      <rPr>
        <sz val="10"/>
        <rFont val="Microsoft JhengHei"/>
        <family val="0"/>
        <charset val="1"/>
      </rPr>
      <t xml:space="preserve">2026/04/22 - 00981A/00992A </t>
    </r>
    <r>
      <rPr>
        <sz val="10"/>
        <rFont val="Noto Sans CJK SC"/>
        <family val="2"/>
      </rPr>
      <t xml:space="preserve">前 </t>
    </r>
    <r>
      <rPr>
        <sz val="10"/>
        <rFont val="Microsoft JhengHei"/>
        <family val="0"/>
        <charset val="1"/>
      </rPr>
      <t xml:space="preserve">5 </t>
    </r>
    <r>
      <rPr>
        <sz val="10"/>
        <rFont val="Noto Sans CJK SC"/>
        <family val="2"/>
      </rPr>
      <t xml:space="preserve">大持股 </t>
    </r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題材</t>
    </r>
  </si>
  <si>
    <r>
      <rPr>
        <b val="true"/>
        <sz val="10"/>
        <rFont val="Noto Sans CJK SC"/>
        <family val="2"/>
      </rPr>
      <t xml:space="preserve">資料來源 </t>
    </r>
    <r>
      <rPr>
        <b val="true"/>
        <sz val="10"/>
        <rFont val="Microsoft JhengHei"/>
        <family val="0"/>
        <charset val="1"/>
      </rPr>
      <t xml:space="preserve">6</t>
    </r>
  </si>
  <si>
    <r>
      <rPr>
        <sz val="10"/>
        <rFont val="Microsoft JhengHei"/>
        <family val="0"/>
        <charset val="1"/>
      </rPr>
      <t xml:space="preserve">ETtoday </t>
    </r>
    <r>
      <rPr>
        <sz val="10"/>
        <rFont val="Noto Sans CJK SC"/>
        <family val="2"/>
      </rPr>
      <t xml:space="preserve">財經雲 </t>
    </r>
    <r>
      <rPr>
        <sz val="10"/>
        <rFont val="Microsoft JhengHei"/>
        <family val="0"/>
        <charset val="1"/>
      </rPr>
      <t xml:space="preserve">2026/04/21 - 00981A/00992A </t>
    </r>
    <r>
      <rPr>
        <sz val="10"/>
        <rFont val="Noto Sans CJK SC"/>
        <family val="2"/>
      </rPr>
      <t xml:space="preserve">溢價率</t>
    </r>
  </si>
  <si>
    <t xml:space="preserve">FinMind API</t>
  </si>
  <si>
    <r>
      <rPr>
        <sz val="10"/>
        <rFont val="Microsoft JhengHei"/>
        <family val="0"/>
        <charset val="1"/>
      </rPr>
      <t xml:space="preserve">TaiwanStockHoldingSharesPer (</t>
    </r>
    <r>
      <rPr>
        <sz val="10"/>
        <rFont val="Noto Sans CJK SC"/>
        <family val="2"/>
      </rPr>
      <t xml:space="preserve">若使用即時模式</t>
    </r>
    <r>
      <rPr>
        <sz val="10"/>
        <rFont val="Microsoft JhengHei"/>
        <family val="0"/>
        <charset val="1"/>
      </rPr>
      <t xml:space="preserve">)</t>
    </r>
  </si>
  <si>
    <r>
      <rPr>
        <b val="true"/>
        <sz val="10"/>
        <rFont val="Microsoft JhengHei"/>
        <family val="0"/>
        <charset val="1"/>
      </rPr>
      <t xml:space="preserve">FinMind </t>
    </r>
    <r>
      <rPr>
        <b val="true"/>
        <sz val="10"/>
        <rFont val="Noto Sans CJK SC"/>
        <family val="2"/>
      </rPr>
      <t xml:space="preserve">限制</t>
    </r>
  </si>
  <si>
    <r>
      <rPr>
        <sz val="10"/>
        <rFont val="Noto Sans CJK SC"/>
        <family val="2"/>
      </rPr>
      <t xml:space="preserve">免費方案每日 </t>
    </r>
    <r>
      <rPr>
        <sz val="10"/>
        <rFont val="Microsoft JhengHei"/>
        <family val="0"/>
        <charset val="1"/>
      </rPr>
      <t xml:space="preserve">300 </t>
    </r>
    <r>
      <rPr>
        <sz val="10"/>
        <rFont val="Noto Sans CJK SC"/>
        <family val="2"/>
      </rPr>
      <t xml:space="preserve">次 </t>
    </r>
    <r>
      <rPr>
        <sz val="10"/>
        <rFont val="Microsoft JhengHei"/>
        <family val="0"/>
        <charset val="1"/>
      </rPr>
      <t xml:space="preserve">API </t>
    </r>
    <r>
      <rPr>
        <sz val="10"/>
        <rFont val="Noto Sans CJK SC"/>
        <family val="2"/>
      </rPr>
      <t xml:space="preserve">呼叫</t>
    </r>
    <r>
      <rPr>
        <sz val="10"/>
        <rFont val="Microsoft JhengHei"/>
        <family val="0"/>
        <charset val="1"/>
      </rPr>
      <t xml:space="preserve">;</t>
    </r>
    <r>
      <rPr>
        <sz val="10"/>
        <rFont val="Noto Sans CJK SC"/>
        <family val="2"/>
      </rPr>
      <t xml:space="preserve">對主動式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涵蓋可能不完整</t>
    </r>
  </si>
  <si>
    <t xml:space="preserve">建議查詢源</t>
  </si>
  <si>
    <r>
      <rPr>
        <sz val="10"/>
        <rFont val="Noto Sans CJK SC"/>
        <family val="2"/>
      </rPr>
      <t xml:space="preserve">統一投信 </t>
    </r>
    <r>
      <rPr>
        <sz val="10"/>
        <rFont val="Microsoft JhengHei"/>
        <family val="0"/>
        <charset val="1"/>
      </rPr>
      <t xml:space="preserve">/ </t>
    </r>
    <r>
      <rPr>
        <sz val="10"/>
        <rFont val="Noto Sans CJK SC"/>
        <family val="2"/>
      </rPr>
      <t xml:space="preserve">群益投信 官網每日持股揭露</t>
    </r>
  </si>
  <si>
    <t xml:space="preserve">色彩規範</t>
  </si>
  <si>
    <r>
      <rPr>
        <sz val="10"/>
        <rFont val="Noto Sans CJK SC"/>
        <family val="2"/>
      </rPr>
      <t xml:space="preserve">台股慣例</t>
    </r>
    <r>
      <rPr>
        <sz val="10"/>
        <rFont val="Microsoft JhengHei"/>
        <family val="0"/>
        <charset val="1"/>
      </rPr>
      <t xml:space="preserve">:</t>
    </r>
    <r>
      <rPr>
        <sz val="10"/>
        <rFont val="Noto Sans CJK SC"/>
        <family val="2"/>
      </rPr>
      <t xml:space="preserve">紅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上漲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增加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新增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加碼</t>
    </r>
    <r>
      <rPr>
        <sz val="10"/>
        <rFont val="Microsoft JhengHei"/>
        <family val="0"/>
        <charset val="1"/>
      </rPr>
      <t xml:space="preserve">;</t>
    </r>
    <r>
      <rPr>
        <sz val="10"/>
        <rFont val="Noto Sans CJK SC"/>
        <family val="2"/>
      </rPr>
      <t xml:space="preserve">綠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下跌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減少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移除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減碼</t>
    </r>
  </si>
  <si>
    <t xml:space="preserve">免責聲明</t>
  </si>
  <si>
    <r>
      <rPr>
        <i val="true"/>
        <sz val="10"/>
        <color rgb="FFC92A2A"/>
        <rFont val="Noto Sans CJK SC"/>
        <family val="2"/>
      </rPr>
      <t xml:space="preserve">本報表僅供研究參考</t>
    </r>
    <r>
      <rPr>
        <i val="true"/>
        <sz val="10"/>
        <color rgb="FFC92A2A"/>
        <rFont val="Microsoft JhengHei"/>
        <family val="0"/>
        <charset val="1"/>
      </rPr>
      <t xml:space="preserve">,</t>
    </r>
    <r>
      <rPr>
        <i val="true"/>
        <sz val="10"/>
        <color rgb="FFC92A2A"/>
        <rFont val="Noto Sans CJK SC"/>
        <family val="2"/>
      </rPr>
      <t xml:space="preserve">不構成任何投資建議</t>
    </r>
  </si>
  <si>
    <r>
      <rPr>
        <sz val="10"/>
        <rFont val="Noto Sans CJK SC"/>
        <family val="2"/>
      </rPr>
      <t xml:space="preserve">主動式 </t>
    </r>
    <r>
      <rPr>
        <sz val="10"/>
        <rFont val="Microsoft JhengHei"/>
        <family val="0"/>
        <charset val="1"/>
      </rPr>
      <t xml:space="preserve">ETF </t>
    </r>
    <r>
      <rPr>
        <sz val="10"/>
        <rFont val="Noto Sans CJK SC"/>
        <family val="2"/>
      </rPr>
      <t xml:space="preserve">持股每日變化頻繁</t>
    </r>
    <r>
      <rPr>
        <sz val="10"/>
        <rFont val="Microsoft JhengHei"/>
        <family val="0"/>
        <charset val="1"/>
      </rPr>
      <t xml:space="preserve">,</t>
    </r>
    <r>
      <rPr>
        <sz val="10"/>
        <rFont val="Noto Sans CJK SC"/>
        <family val="2"/>
      </rPr>
      <t xml:space="preserve">投資決策前請至發行商官網核對最新資料</t>
    </r>
  </si>
  <si>
    <r>
      <rPr>
        <sz val="10"/>
        <rFont val="Noto Sans CJK SC"/>
        <family val="2"/>
      </rPr>
      <t xml:space="preserve">所有數值與資訊均來自公開資訊</t>
    </r>
    <r>
      <rPr>
        <sz val="10"/>
        <rFont val="Microsoft JhengHei"/>
        <family val="0"/>
        <charset val="1"/>
      </rPr>
      <t xml:space="preserve">,Claude </t>
    </r>
    <r>
      <rPr>
        <sz val="10"/>
        <rFont val="Noto Sans CJK SC"/>
        <family val="2"/>
      </rPr>
      <t xml:space="preserve">不對其準確性做完整保證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</si>
</sst>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Microsoft JhengHei"/>
      <family val="0"/>
      <charset val="1"/>
    </font>
    <font>
      <b val="true"/>
      <sz val="10"/>
      <name val="Noto Sans CJK SC"/>
      <family val="2"/>
    </font>
    <font>
      <b val="true"/>
      <sz val="10"/>
      <name val="Microsoft JhengHei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  <font>
      <b val="true"/>
      <sz val="12"/>
      <color rgb="FFC92A2A"/>
      <name val="Noto Sans CJK SC"/>
      <family val="2"/>
    </font>
    <font>
      <sz val="10"/>
      <name val="Microsoft JhengHei"/>
      <family val="0"/>
      <charset val="1"/>
    </font>
    <font>
      <sz val="10"/>
      <name val="Noto Sans CJK SC"/>
      <family val="2"/>
    </font>
    <font>
      <b val="true"/>
      <sz val="14"/>
      <color rgb="FFFFFFFF"/>
      <name val="Microsoft JhengHei"/>
      <family val="0"/>
      <charset val="1"/>
    </font>
    <font>
      <b val="true"/>
      <sz val="14"/>
      <color rgb="FFFFFFFF"/>
      <name val="Noto Sans CJK SC"/>
      <family val="2"/>
    </font>
    <font>
      <sz val="10"/>
      <name val="Consolas"/>
      <family val="0"/>
      <charset val="1"/>
    </font>
    <font>
      <b val="true"/>
      <sz val="11"/>
      <color rgb="FFC92A2A"/>
      <name val="Microsoft JhengHei"/>
      <family val="0"/>
      <charset val="1"/>
    </font>
    <font>
      <b val="true"/>
      <sz val="10"/>
      <color rgb="FFF59F00"/>
      <name val="Noto Sans CJK SC"/>
      <family val="2"/>
    </font>
    <font>
      <b val="true"/>
      <sz val="11"/>
      <name val="Noto Sans CJK SC"/>
      <family val="2"/>
    </font>
    <font>
      <b val="true"/>
      <sz val="11"/>
      <name val="Microsoft JhengHei"/>
      <family val="0"/>
      <charset val="1"/>
    </font>
    <font>
      <b val="true"/>
      <sz val="11"/>
      <color rgb="FFC92A2A"/>
      <name val="Consolas"/>
      <family val="0"/>
      <charset val="1"/>
    </font>
    <font>
      <b val="true"/>
      <sz val="11"/>
      <color rgb="FF1971C2"/>
      <name val="Microsoft JhengHei"/>
      <family val="0"/>
      <charset val="1"/>
    </font>
    <font>
      <b val="true"/>
      <sz val="11"/>
      <name val="Consolas"/>
      <family val="0"/>
      <charset val="1"/>
    </font>
    <font>
      <b val="true"/>
      <sz val="11"/>
      <color rgb="FFFFFFFF"/>
      <name val="Consolas"/>
      <family val="0"/>
      <charset val="1"/>
    </font>
    <font>
      <i val="true"/>
      <sz val="10"/>
      <name val="Noto Sans CJK SC"/>
      <family val="2"/>
    </font>
    <font>
      <i val="true"/>
      <sz val="10"/>
      <name val="Microsoft JhengHei"/>
      <family val="0"/>
      <charset val="1"/>
    </font>
    <font>
      <b val="true"/>
      <sz val="11"/>
      <color rgb="FFC92A2A"/>
      <name val="Noto Sans CJK SC"/>
      <family val="2"/>
    </font>
    <font>
      <b val="true"/>
      <sz val="11"/>
      <color rgb="FF2F9E44"/>
      <name val="Noto Sans CJK SC"/>
      <family val="2"/>
    </font>
    <font>
      <i val="true"/>
      <sz val="10"/>
      <color rgb="FFC92A2A"/>
      <name val="Noto Sans CJK SC"/>
      <family val="2"/>
    </font>
    <font>
      <i val="true"/>
      <sz val="10"/>
      <color rgb="FFC92A2A"/>
      <name val="Microsoft JhengHe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E1014"/>
        <bgColor rgb="FF171A21"/>
      </patternFill>
    </fill>
    <fill>
      <patternFill patternType="solid">
        <fgColor rgb="FF171A21"/>
        <bgColor rgb="FF0E1014"/>
      </patternFill>
    </fill>
    <fill>
      <patternFill patternType="solid">
        <fgColor rgb="FFC92A2A"/>
        <bgColor rgb="FF993366"/>
      </patternFill>
    </fill>
    <fill>
      <patternFill patternType="solid">
        <fgColor rgb="FF1971C2"/>
        <bgColor rgb="FF3366FF"/>
      </patternFill>
    </fill>
    <fill>
      <patternFill patternType="solid">
        <fgColor rgb="FFFFF3BF"/>
        <bgColor rgb="FFFFFF99"/>
      </patternFill>
    </fill>
    <fill>
      <patternFill patternType="solid">
        <fgColor rgb="FFFFE3E3"/>
        <bgColor rgb="FFFFF3BF"/>
      </patternFill>
    </fill>
    <fill>
      <patternFill patternType="solid">
        <fgColor rgb="FF343A40"/>
        <bgColor rgb="FF333399"/>
      </patternFill>
    </fill>
    <fill>
      <patternFill patternType="solid">
        <fgColor rgb="FFF8F9FA"/>
        <bgColor rgb="FFFFFFFF"/>
      </patternFill>
    </fill>
    <fill>
      <patternFill patternType="solid">
        <fgColor rgb="FFD3F9D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F8F9FA"/>
      <rgbColor rgb="FF660066"/>
      <rgbColor rgb="FFFF8080"/>
      <rgbColor rgb="FF1971C2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9D8"/>
      <rgbColor rgb="FFFFFF99"/>
      <rgbColor rgb="FF99CCFF"/>
      <rgbColor rgb="FFFF99CC"/>
      <rgbColor rgb="FFCC99FF"/>
      <rgbColor rgb="FFFFE3E3"/>
      <rgbColor rgb="FF3366FF"/>
      <rgbColor rgb="FF33CCCC"/>
      <rgbColor rgb="FF99CC00"/>
      <rgbColor rgb="FFFFCC00"/>
      <rgbColor rgb="FFF59F00"/>
      <rgbColor rgb="FFFF6600"/>
      <rgbColor rgb="FF666699"/>
      <rgbColor rgb="FF969696"/>
      <rgbColor rgb="FF003366"/>
      <rgbColor rgb="FF2F9E44"/>
      <rgbColor rgb="FF171A21"/>
      <rgbColor rgb="FF0E1014"/>
      <rgbColor rgb="FFC92A2A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2"/>
    <col collapsed="false" customWidth="true" hidden="false" outlineLevel="0" max="7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15" hidden="false" customHeight="false" outlineLevel="0" collapsed="false">
      <c r="A2" s="2" t="s">
        <v>1</v>
      </c>
      <c r="B2" s="3" t="s">
        <v>2</v>
      </c>
    </row>
    <row r="3" customFormat="false" ht="17.15" hidden="false" customHeight="false" outlineLevel="0" collapsed="false">
      <c r="A3" s="2" t="s">
        <v>3</v>
      </c>
      <c r="B3" s="4" t="s">
        <v>4</v>
      </c>
    </row>
    <row r="5" customFormat="false" ht="17.15" hidden="false" customHeight="false" outlineLevel="0" collapsed="false">
      <c r="A5" s="5" t="s">
        <v>5</v>
      </c>
      <c r="B5" s="6" t="s">
        <v>6</v>
      </c>
      <c r="C5" s="7" t="s">
        <v>7</v>
      </c>
    </row>
    <row r="6" customFormat="false" ht="15" hidden="false" customHeight="false" outlineLevel="0" collapsed="false">
      <c r="A6" s="8" t="s">
        <v>8</v>
      </c>
      <c r="B6" s="9" t="s">
        <v>9</v>
      </c>
      <c r="C6" s="9" t="s">
        <v>10</v>
      </c>
    </row>
    <row r="7" customFormat="false" ht="15" hidden="false" customHeight="false" outlineLevel="0" collapsed="false">
      <c r="A7" s="8" t="s">
        <v>11</v>
      </c>
      <c r="B7" s="10" t="s">
        <v>12</v>
      </c>
      <c r="C7" s="10" t="s">
        <v>13</v>
      </c>
    </row>
    <row r="8" customFormat="false" ht="15" hidden="false" customHeight="false" outlineLevel="0" collapsed="false">
      <c r="A8" s="8" t="s">
        <v>14</v>
      </c>
      <c r="B8" s="11" t="n">
        <v>1833</v>
      </c>
      <c r="C8" s="11" t="n">
        <v>375</v>
      </c>
    </row>
    <row r="9" customFormat="false" ht="15" hidden="false" customHeight="false" outlineLevel="0" collapsed="false">
      <c r="A9" s="12" t="s">
        <v>15</v>
      </c>
      <c r="B9" s="11" t="n">
        <v>62.64</v>
      </c>
      <c r="C9" s="11" t="n">
        <v>63.57</v>
      </c>
    </row>
    <row r="10" customFormat="false" ht="15" hidden="false" customHeight="false" outlineLevel="0" collapsed="false">
      <c r="A10" s="8" t="s">
        <v>16</v>
      </c>
      <c r="B10" s="11" t="n">
        <v>10</v>
      </c>
      <c r="C10" s="11" t="n">
        <v>10</v>
      </c>
    </row>
    <row r="11" customFormat="false" ht="15" hidden="false" customHeight="false" outlineLevel="0" collapsed="false">
      <c r="A11" s="8" t="s">
        <v>17</v>
      </c>
      <c r="B11" s="13" t="n">
        <f aca="false">SUM(00981A持股!D4:D13)</f>
        <v>60.31</v>
      </c>
      <c r="C11" s="13" t="n">
        <f aca="false">SUM(00992A持股!D4:D13)</f>
        <v>39.98</v>
      </c>
    </row>
    <row r="12" customFormat="false" ht="15" hidden="false" customHeight="false" outlineLevel="0" collapsed="false">
      <c r="A12" s="8" t="s">
        <v>18</v>
      </c>
      <c r="B12" s="13" t="n">
        <f aca="false">SUM(00981A持股!D4:D8)</f>
        <v>34.37</v>
      </c>
      <c r="C12" s="13" t="n">
        <f aca="false">SUM(00992A持股!D4:D8)</f>
        <v>22.82</v>
      </c>
    </row>
    <row r="13" customFormat="false" ht="17.15" hidden="false" customHeight="false" outlineLevel="0" collapsed="false">
      <c r="A13" s="8" t="s">
        <v>19</v>
      </c>
      <c r="B13" s="9" t="s">
        <v>20</v>
      </c>
      <c r="C13" s="9" t="s">
        <v>21</v>
      </c>
    </row>
    <row r="14" customFormat="false" ht="17.15" hidden="false" customHeight="false" outlineLevel="0" collapsed="false">
      <c r="A14" s="8" t="s">
        <v>22</v>
      </c>
      <c r="B14" s="9" t="s">
        <v>23</v>
      </c>
      <c r="C14" s="9" t="s">
        <v>24</v>
      </c>
    </row>
    <row r="16" customFormat="false" ht="15" hidden="false" customHeight="false" outlineLevel="0" collapsed="false">
      <c r="A16" s="14" t="s">
        <v>25</v>
      </c>
    </row>
    <row r="17" customFormat="false" ht="15" hidden="false" customHeight="false" outlineLevel="0" collapsed="false">
      <c r="A17" s="15" t="s">
        <v>26</v>
      </c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 t="s">
        <v>27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5" t="s">
        <v>28</v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5" t="s">
        <v>29</v>
      </c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15" t="s">
        <v>30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5" t="s">
        <v>31</v>
      </c>
      <c r="B22" s="15"/>
      <c r="C22" s="15"/>
      <c r="D22" s="15"/>
      <c r="E22" s="15"/>
      <c r="F22" s="15"/>
      <c r="G22" s="15"/>
    </row>
  </sheetData>
  <mergeCells count="7">
    <mergeCell ref="A1:G1"/>
    <mergeCell ref="A17:G17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6" t="s">
        <v>32</v>
      </c>
      <c r="B1" s="16"/>
      <c r="C1" s="16"/>
      <c r="D1" s="16"/>
      <c r="E1" s="16"/>
      <c r="F1" s="16"/>
    </row>
    <row r="3" customFormat="false" ht="17.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</row>
    <row r="4" customFormat="false" ht="15" hidden="false" customHeight="false" outlineLevel="0" collapsed="false">
      <c r="A4" s="17" t="n">
        <v>1</v>
      </c>
      <c r="B4" s="18" t="s">
        <v>39</v>
      </c>
      <c r="C4" s="19" t="s">
        <v>40</v>
      </c>
      <c r="D4" s="20" t="n">
        <v>9.01</v>
      </c>
      <c r="E4" s="21" t="s">
        <v>41</v>
      </c>
      <c r="F4" s="22" t="s">
        <v>42</v>
      </c>
    </row>
    <row r="5" customFormat="false" ht="15" hidden="false" customHeight="false" outlineLevel="0" collapsed="false">
      <c r="A5" s="17" t="n">
        <v>2</v>
      </c>
      <c r="B5" s="18" t="s">
        <v>43</v>
      </c>
      <c r="C5" s="19" t="s">
        <v>44</v>
      </c>
      <c r="D5" s="20" t="n">
        <v>7.98</v>
      </c>
      <c r="E5" s="21" t="s">
        <v>45</v>
      </c>
      <c r="F5" s="22" t="s">
        <v>42</v>
      </c>
    </row>
    <row r="6" customFormat="false" ht="15" hidden="false" customHeight="false" outlineLevel="0" collapsed="false">
      <c r="A6" s="10" t="n">
        <v>3</v>
      </c>
      <c r="B6" s="23" t="s">
        <v>46</v>
      </c>
      <c r="C6" s="24" t="s">
        <v>47</v>
      </c>
      <c r="D6" s="25" t="n">
        <v>6</v>
      </c>
      <c r="E6" s="9" t="s">
        <v>45</v>
      </c>
      <c r="F6" s="10"/>
    </row>
    <row r="7" customFormat="false" ht="15" hidden="false" customHeight="false" outlineLevel="0" collapsed="false">
      <c r="A7" s="10" t="n">
        <v>4</v>
      </c>
      <c r="B7" s="23" t="s">
        <v>48</v>
      </c>
      <c r="C7" s="24" t="s">
        <v>49</v>
      </c>
      <c r="D7" s="25" t="n">
        <v>5.77</v>
      </c>
      <c r="E7" s="9" t="s">
        <v>45</v>
      </c>
      <c r="F7" s="10"/>
    </row>
    <row r="8" customFormat="false" ht="15" hidden="false" customHeight="false" outlineLevel="0" collapsed="false">
      <c r="A8" s="10" t="n">
        <v>5</v>
      </c>
      <c r="B8" s="23" t="s">
        <v>50</v>
      </c>
      <c r="C8" s="24" t="s">
        <v>51</v>
      </c>
      <c r="D8" s="25" t="n">
        <v>5.61</v>
      </c>
      <c r="E8" s="9" t="s">
        <v>45</v>
      </c>
      <c r="F8" s="10"/>
    </row>
    <row r="9" customFormat="false" ht="15" hidden="false" customHeight="false" outlineLevel="0" collapsed="false">
      <c r="A9" s="17" t="n">
        <v>6</v>
      </c>
      <c r="B9" s="18" t="s">
        <v>52</v>
      </c>
      <c r="C9" s="19" t="s">
        <v>53</v>
      </c>
      <c r="D9" s="20" t="n">
        <v>5.57</v>
      </c>
      <c r="E9" s="21" t="s">
        <v>54</v>
      </c>
      <c r="F9" s="22" t="s">
        <v>42</v>
      </c>
    </row>
    <row r="10" customFormat="false" ht="15" hidden="false" customHeight="false" outlineLevel="0" collapsed="false">
      <c r="A10" s="10" t="n">
        <v>7</v>
      </c>
      <c r="B10" s="23" t="s">
        <v>55</v>
      </c>
      <c r="C10" s="24" t="s">
        <v>56</v>
      </c>
      <c r="D10" s="25" t="n">
        <v>5.52</v>
      </c>
      <c r="E10" s="9" t="s">
        <v>57</v>
      </c>
      <c r="F10" s="10"/>
    </row>
    <row r="11" customFormat="false" ht="17.15" hidden="false" customHeight="false" outlineLevel="0" collapsed="false">
      <c r="A11" s="17" t="n">
        <v>8</v>
      </c>
      <c r="B11" s="18" t="s">
        <v>58</v>
      </c>
      <c r="C11" s="19" t="s">
        <v>59</v>
      </c>
      <c r="D11" s="20" t="n">
        <v>5.51</v>
      </c>
      <c r="E11" s="21" t="s">
        <v>45</v>
      </c>
      <c r="F11" s="22" t="s">
        <v>42</v>
      </c>
    </row>
    <row r="12" customFormat="false" ht="15" hidden="false" customHeight="false" outlineLevel="0" collapsed="false">
      <c r="A12" s="17" t="n">
        <v>9</v>
      </c>
      <c r="B12" s="18" t="s">
        <v>60</v>
      </c>
      <c r="C12" s="19" t="s">
        <v>61</v>
      </c>
      <c r="D12" s="20" t="n">
        <v>5.16</v>
      </c>
      <c r="E12" s="21" t="s">
        <v>41</v>
      </c>
      <c r="F12" s="22" t="s">
        <v>42</v>
      </c>
    </row>
    <row r="13" customFormat="false" ht="15" hidden="false" customHeight="false" outlineLevel="0" collapsed="false">
      <c r="A13" s="10" t="n">
        <v>10</v>
      </c>
      <c r="B13" s="23" t="s">
        <v>62</v>
      </c>
      <c r="C13" s="24" t="s">
        <v>63</v>
      </c>
      <c r="D13" s="25" t="n">
        <v>4.18</v>
      </c>
      <c r="E13" s="9" t="s">
        <v>45</v>
      </c>
      <c r="F13" s="10"/>
    </row>
    <row r="14" customFormat="false" ht="17.15" hidden="false" customHeight="false" outlineLevel="0" collapsed="false">
      <c r="A14" s="26" t="s">
        <v>64</v>
      </c>
      <c r="B14" s="26"/>
      <c r="C14" s="26"/>
      <c r="D14" s="27" t="n">
        <f aca="false">SUM(D4:D13)</f>
        <v>60.31</v>
      </c>
      <c r="E14" s="28"/>
      <c r="F14" s="28"/>
    </row>
  </sheetData>
  <mergeCells count="2">
    <mergeCell ref="A1:F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29" t="s">
        <v>65</v>
      </c>
      <c r="B1" s="29"/>
      <c r="C1" s="29"/>
      <c r="D1" s="29"/>
      <c r="E1" s="29"/>
      <c r="F1" s="29"/>
    </row>
    <row r="3" customFormat="false" ht="17.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</row>
    <row r="4" customFormat="false" ht="15" hidden="false" customHeight="false" outlineLevel="0" collapsed="false">
      <c r="A4" s="17" t="n">
        <v>1</v>
      </c>
      <c r="B4" s="18" t="s">
        <v>39</v>
      </c>
      <c r="C4" s="19" t="s">
        <v>40</v>
      </c>
      <c r="D4" s="20" t="n">
        <v>6.87</v>
      </c>
      <c r="E4" s="21" t="s">
        <v>41</v>
      </c>
      <c r="F4" s="22" t="s">
        <v>42</v>
      </c>
    </row>
    <row r="5" customFormat="false" ht="15" hidden="false" customHeight="false" outlineLevel="0" collapsed="false">
      <c r="A5" s="17" t="n">
        <v>2</v>
      </c>
      <c r="B5" s="18" t="s">
        <v>43</v>
      </c>
      <c r="C5" s="19" t="s">
        <v>44</v>
      </c>
      <c r="D5" s="20" t="n">
        <v>4.51</v>
      </c>
      <c r="E5" s="21" t="s">
        <v>45</v>
      </c>
      <c r="F5" s="22" t="s">
        <v>42</v>
      </c>
    </row>
    <row r="6" customFormat="false" ht="15" hidden="false" customHeight="false" outlineLevel="0" collapsed="false">
      <c r="A6" s="17" t="n">
        <v>3</v>
      </c>
      <c r="B6" s="18" t="s">
        <v>52</v>
      </c>
      <c r="C6" s="19" t="s">
        <v>53</v>
      </c>
      <c r="D6" s="20" t="n">
        <v>3.84</v>
      </c>
      <c r="E6" s="21" t="s">
        <v>54</v>
      </c>
      <c r="F6" s="22" t="s">
        <v>42</v>
      </c>
    </row>
    <row r="7" customFormat="false" ht="15" hidden="false" customHeight="false" outlineLevel="0" collapsed="false">
      <c r="A7" s="10" t="n">
        <v>4</v>
      </c>
      <c r="B7" s="23" t="s">
        <v>66</v>
      </c>
      <c r="C7" s="24" t="s">
        <v>67</v>
      </c>
      <c r="D7" s="25" t="n">
        <v>3.8</v>
      </c>
      <c r="E7" s="9" t="s">
        <v>45</v>
      </c>
      <c r="F7" s="10"/>
    </row>
    <row r="8" customFormat="false" ht="15" hidden="false" customHeight="false" outlineLevel="0" collapsed="false">
      <c r="A8" s="10" t="n">
        <v>5</v>
      </c>
      <c r="B8" s="23" t="s">
        <v>68</v>
      </c>
      <c r="C8" s="24" t="s">
        <v>69</v>
      </c>
      <c r="D8" s="25" t="n">
        <v>3.8</v>
      </c>
      <c r="E8" s="9" t="s">
        <v>45</v>
      </c>
      <c r="F8" s="10"/>
    </row>
    <row r="9" customFormat="false" ht="15" hidden="false" customHeight="false" outlineLevel="0" collapsed="false">
      <c r="A9" s="10" t="n">
        <v>6</v>
      </c>
      <c r="B9" s="23" t="s">
        <v>70</v>
      </c>
      <c r="C9" s="24" t="s">
        <v>71</v>
      </c>
      <c r="D9" s="25" t="n">
        <v>3.7</v>
      </c>
      <c r="E9" s="9" t="s">
        <v>45</v>
      </c>
      <c r="F9" s="10"/>
    </row>
    <row r="10" customFormat="false" ht="15" hidden="false" customHeight="false" outlineLevel="0" collapsed="false">
      <c r="A10" s="10" t="n">
        <v>7</v>
      </c>
      <c r="B10" s="23" t="s">
        <v>72</v>
      </c>
      <c r="C10" s="24" t="s">
        <v>73</v>
      </c>
      <c r="D10" s="25" t="n">
        <v>3.69</v>
      </c>
      <c r="E10" s="9" t="s">
        <v>41</v>
      </c>
      <c r="F10" s="10"/>
    </row>
    <row r="11" customFormat="false" ht="17.15" hidden="false" customHeight="false" outlineLevel="0" collapsed="false">
      <c r="A11" s="17" t="n">
        <v>8</v>
      </c>
      <c r="B11" s="18" t="s">
        <v>58</v>
      </c>
      <c r="C11" s="19" t="s">
        <v>59</v>
      </c>
      <c r="D11" s="20" t="n">
        <v>3.31</v>
      </c>
      <c r="E11" s="21" t="s">
        <v>45</v>
      </c>
      <c r="F11" s="22" t="s">
        <v>42</v>
      </c>
    </row>
    <row r="12" customFormat="false" ht="15" hidden="false" customHeight="false" outlineLevel="0" collapsed="false">
      <c r="A12" s="17" t="n">
        <v>9</v>
      </c>
      <c r="B12" s="18" t="s">
        <v>60</v>
      </c>
      <c r="C12" s="19" t="s">
        <v>61</v>
      </c>
      <c r="D12" s="20" t="n">
        <v>3.3</v>
      </c>
      <c r="E12" s="21" t="s">
        <v>41</v>
      </c>
      <c r="F12" s="22" t="s">
        <v>42</v>
      </c>
    </row>
    <row r="13" customFormat="false" ht="15" hidden="false" customHeight="false" outlineLevel="0" collapsed="false">
      <c r="A13" s="10" t="n">
        <v>10</v>
      </c>
      <c r="B13" s="23" t="s">
        <v>74</v>
      </c>
      <c r="C13" s="24" t="s">
        <v>75</v>
      </c>
      <c r="D13" s="25" t="n">
        <v>3.16</v>
      </c>
      <c r="E13" s="9" t="s">
        <v>41</v>
      </c>
      <c r="F13" s="10"/>
    </row>
    <row r="14" customFormat="false" ht="17.15" hidden="false" customHeight="false" outlineLevel="0" collapsed="false">
      <c r="A14" s="26" t="s">
        <v>64</v>
      </c>
      <c r="B14" s="26"/>
      <c r="C14" s="26"/>
      <c r="D14" s="27" t="n">
        <f aca="false">SUM(D4:D13)</f>
        <v>39.98</v>
      </c>
      <c r="E14" s="28"/>
      <c r="F14" s="28"/>
    </row>
  </sheetData>
  <mergeCells count="2">
    <mergeCell ref="A1:F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30" t="s">
        <v>76</v>
      </c>
      <c r="B1" s="30"/>
      <c r="C1" s="30"/>
      <c r="D1" s="30"/>
      <c r="E1" s="30"/>
      <c r="F1" s="30"/>
      <c r="G1" s="30"/>
    </row>
    <row r="3" customFormat="false" ht="17.15" hidden="false" customHeight="false" outlineLevel="0" collapsed="false">
      <c r="A3" s="5" t="s">
        <v>34</v>
      </c>
      <c r="B3" s="5" t="s">
        <v>35</v>
      </c>
      <c r="C3" s="5" t="s">
        <v>37</v>
      </c>
      <c r="D3" s="31" t="s">
        <v>77</v>
      </c>
      <c r="E3" s="31" t="s">
        <v>78</v>
      </c>
      <c r="F3" s="5" t="s">
        <v>79</v>
      </c>
      <c r="G3" s="5" t="s">
        <v>80</v>
      </c>
    </row>
    <row r="4" customFormat="false" ht="17.15" hidden="false" customHeight="false" outlineLevel="0" collapsed="false">
      <c r="A4" s="18" t="s">
        <v>39</v>
      </c>
      <c r="B4" s="19" t="s">
        <v>40</v>
      </c>
      <c r="C4" s="21" t="s">
        <v>41</v>
      </c>
      <c r="D4" s="20" t="n">
        <v>9.01</v>
      </c>
      <c r="E4" s="32" t="n">
        <v>6.87</v>
      </c>
      <c r="F4" s="33" t="n">
        <f aca="false">D4+E4</f>
        <v>15.88</v>
      </c>
      <c r="G4" s="34" t="s">
        <v>81</v>
      </c>
    </row>
    <row r="5" customFormat="false" ht="17.15" hidden="false" customHeight="false" outlineLevel="0" collapsed="false">
      <c r="A5" s="18" t="s">
        <v>43</v>
      </c>
      <c r="B5" s="19" t="s">
        <v>44</v>
      </c>
      <c r="C5" s="21" t="s">
        <v>45</v>
      </c>
      <c r="D5" s="20" t="n">
        <v>7.98</v>
      </c>
      <c r="E5" s="32" t="n">
        <v>4.51</v>
      </c>
      <c r="F5" s="33" t="n">
        <f aca="false">D5+E5</f>
        <v>12.49</v>
      </c>
      <c r="G5" s="19" t="s">
        <v>82</v>
      </c>
    </row>
    <row r="6" customFormat="false" ht="17.15" hidden="false" customHeight="false" outlineLevel="0" collapsed="false">
      <c r="A6" s="18" t="s">
        <v>52</v>
      </c>
      <c r="B6" s="19" t="s">
        <v>53</v>
      </c>
      <c r="C6" s="21" t="s">
        <v>54</v>
      </c>
      <c r="D6" s="20" t="n">
        <v>5.57</v>
      </c>
      <c r="E6" s="32" t="n">
        <v>3.84</v>
      </c>
      <c r="F6" s="33" t="n">
        <f aca="false">D6+E6</f>
        <v>9.41</v>
      </c>
      <c r="G6" s="34" t="s">
        <v>83</v>
      </c>
    </row>
    <row r="7" customFormat="false" ht="17.15" hidden="false" customHeight="false" outlineLevel="0" collapsed="false">
      <c r="A7" s="18" t="s">
        <v>58</v>
      </c>
      <c r="B7" s="19" t="s">
        <v>59</v>
      </c>
      <c r="C7" s="21" t="s">
        <v>45</v>
      </c>
      <c r="D7" s="20" t="n">
        <v>5.51</v>
      </c>
      <c r="E7" s="32" t="n">
        <v>3.31</v>
      </c>
      <c r="F7" s="33" t="n">
        <f aca="false">D7+E7</f>
        <v>8.82</v>
      </c>
      <c r="G7" s="19" t="s">
        <v>84</v>
      </c>
    </row>
    <row r="8" customFormat="false" ht="17.15" hidden="false" customHeight="false" outlineLevel="0" collapsed="false">
      <c r="A8" s="18" t="s">
        <v>60</v>
      </c>
      <c r="B8" s="19" t="s">
        <v>61</v>
      </c>
      <c r="C8" s="21" t="s">
        <v>41</v>
      </c>
      <c r="D8" s="20" t="n">
        <v>5.16</v>
      </c>
      <c r="E8" s="32" t="n">
        <v>3.3</v>
      </c>
      <c r="F8" s="33" t="n">
        <f aca="false">D8+E8</f>
        <v>8.46</v>
      </c>
      <c r="G8" s="19" t="s">
        <v>85</v>
      </c>
    </row>
    <row r="9" customFormat="false" ht="15" hidden="false" customHeight="false" outlineLevel="0" collapsed="false">
      <c r="A9" s="35" t="s">
        <v>86</v>
      </c>
      <c r="B9" s="35"/>
      <c r="C9" s="35"/>
      <c r="D9" s="36" t="n">
        <f aca="false">SUM(D4:D8)</f>
        <v>33.23</v>
      </c>
      <c r="E9" s="36" t="n">
        <f aca="false">SUM(E4:E8)</f>
        <v>21.83</v>
      </c>
      <c r="F9" s="36" t="n">
        <f aca="false">SUM(F4:F8)</f>
        <v>55.06</v>
      </c>
      <c r="G9" s="37"/>
    </row>
    <row r="11" customFormat="false" ht="15" hidden="false" customHeight="false" outlineLevel="0" collapsed="false">
      <c r="A11" s="38" t="s">
        <v>87</v>
      </c>
      <c r="B11" s="38"/>
      <c r="C11" s="38"/>
      <c r="D11" s="38"/>
      <c r="E11" s="38"/>
      <c r="F11" s="38"/>
      <c r="G11" s="38"/>
    </row>
    <row r="12" customFormat="false" ht="15" hidden="false" customHeight="false" outlineLevel="0" collapsed="false">
      <c r="A12" s="39" t="s">
        <v>88</v>
      </c>
      <c r="B12" s="39"/>
      <c r="C12" s="39"/>
      <c r="D12" s="39"/>
      <c r="E12" s="39"/>
      <c r="F12" s="39"/>
      <c r="G12" s="39"/>
    </row>
    <row r="13" customFormat="false" ht="15" hidden="false" customHeight="false" outlineLevel="0" collapsed="false">
      <c r="A13" s="39" t="s">
        <v>89</v>
      </c>
      <c r="B13" s="39"/>
      <c r="C13" s="39"/>
      <c r="D13" s="39"/>
      <c r="E13" s="39"/>
      <c r="F13" s="39"/>
      <c r="G13" s="39"/>
    </row>
    <row r="14" customFormat="false" ht="15" hidden="false" customHeight="false" outlineLevel="0" collapsed="false">
      <c r="A14" s="15" t="s">
        <v>90</v>
      </c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39" t="s">
        <v>91</v>
      </c>
      <c r="B15" s="39"/>
      <c r="C15" s="39"/>
      <c r="D15" s="39"/>
      <c r="E15" s="39"/>
      <c r="F15" s="39"/>
      <c r="G15" s="39"/>
    </row>
    <row r="16" customFormat="false" ht="15" hidden="false" customHeight="false" outlineLevel="0" collapsed="false">
      <c r="A16" s="15" t="s">
        <v>92</v>
      </c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5" t="s">
        <v>93</v>
      </c>
      <c r="B17" s="15"/>
      <c r="C17" s="15"/>
      <c r="D17" s="15"/>
      <c r="E17" s="15"/>
      <c r="F17" s="15"/>
      <c r="G17" s="15"/>
    </row>
  </sheetData>
  <mergeCells count="9">
    <mergeCell ref="A1:G1"/>
    <mergeCell ref="A9:C9"/>
    <mergeCell ref="A11:G11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6" t="s">
        <v>94</v>
      </c>
      <c r="B1" s="16"/>
      <c r="C1" s="16"/>
      <c r="D1" s="16"/>
      <c r="E1" s="16"/>
    </row>
    <row r="2" customFormat="false" ht="15" hidden="false" customHeight="false" outlineLevel="0" collapsed="false">
      <c r="A2" s="40" t="s">
        <v>95</v>
      </c>
      <c r="B2" s="40"/>
      <c r="C2" s="40"/>
      <c r="D2" s="40"/>
      <c r="E2" s="40"/>
    </row>
    <row r="4" customFormat="false" ht="15" hidden="false" customHeight="false" outlineLevel="0" collapsed="false">
      <c r="A4" s="5" t="s">
        <v>96</v>
      </c>
      <c r="B4" s="5" t="s">
        <v>97</v>
      </c>
      <c r="C4" s="5" t="s">
        <v>34</v>
      </c>
      <c r="D4" s="5" t="s">
        <v>35</v>
      </c>
      <c r="E4" s="5" t="s">
        <v>98</v>
      </c>
    </row>
    <row r="5" customFormat="false" ht="17.15" hidden="false" customHeight="false" outlineLevel="0" collapsed="false">
      <c r="A5" s="23" t="s">
        <v>99</v>
      </c>
      <c r="B5" s="41" t="s">
        <v>100</v>
      </c>
      <c r="C5" s="23" t="s">
        <v>101</v>
      </c>
      <c r="D5" s="24" t="s">
        <v>102</v>
      </c>
      <c r="E5" s="42" t="s">
        <v>103</v>
      </c>
    </row>
    <row r="6" customFormat="false" ht="15" hidden="false" customHeight="false" outlineLevel="0" collapsed="false">
      <c r="A6" s="43" t="s">
        <v>99</v>
      </c>
      <c r="B6" s="41" t="s">
        <v>104</v>
      </c>
      <c r="C6" s="43" t="s">
        <v>39</v>
      </c>
      <c r="D6" s="44" t="s">
        <v>40</v>
      </c>
      <c r="E6" s="45" t="s">
        <v>105</v>
      </c>
    </row>
    <row r="7" customFormat="false" ht="15" hidden="false" customHeight="false" outlineLevel="0" collapsed="false">
      <c r="A7" s="23" t="s">
        <v>99</v>
      </c>
      <c r="B7" s="41" t="s">
        <v>104</v>
      </c>
      <c r="C7" s="23" t="s">
        <v>43</v>
      </c>
      <c r="D7" s="24" t="s">
        <v>44</v>
      </c>
      <c r="E7" s="42" t="s">
        <v>106</v>
      </c>
    </row>
    <row r="8" customFormat="false" ht="17.15" hidden="false" customHeight="false" outlineLevel="0" collapsed="false">
      <c r="A8" s="43" t="s">
        <v>99</v>
      </c>
      <c r="B8" s="46" t="s">
        <v>107</v>
      </c>
      <c r="C8" s="43" t="s">
        <v>108</v>
      </c>
      <c r="D8" s="47" t="s">
        <v>109</v>
      </c>
      <c r="E8" s="48" t="s">
        <v>110</v>
      </c>
    </row>
    <row r="9" customFormat="false" ht="15" hidden="false" customHeight="false" outlineLevel="0" collapsed="false">
      <c r="A9" s="23" t="s">
        <v>111</v>
      </c>
      <c r="B9" s="41" t="s">
        <v>100</v>
      </c>
      <c r="C9" s="23" t="s">
        <v>112</v>
      </c>
      <c r="D9" s="24" t="s">
        <v>113</v>
      </c>
      <c r="E9" s="49" t="s">
        <v>114</v>
      </c>
    </row>
    <row r="10" customFormat="false" ht="17.15" hidden="false" customHeight="false" outlineLevel="0" collapsed="false">
      <c r="A10" s="43" t="s">
        <v>115</v>
      </c>
      <c r="B10" s="41" t="s">
        <v>100</v>
      </c>
      <c r="C10" s="43" t="s">
        <v>116</v>
      </c>
      <c r="D10" s="44" t="s">
        <v>117</v>
      </c>
      <c r="E10" s="45" t="s">
        <v>118</v>
      </c>
    </row>
    <row r="11" customFormat="false" ht="15" hidden="false" customHeight="false" outlineLevel="0" collapsed="false">
      <c r="A11" s="23" t="s">
        <v>115</v>
      </c>
      <c r="B11" s="41" t="s">
        <v>119</v>
      </c>
      <c r="C11" s="23" t="s">
        <v>39</v>
      </c>
      <c r="D11" s="24" t="s">
        <v>40</v>
      </c>
      <c r="E11" s="42" t="s">
        <v>120</v>
      </c>
    </row>
    <row r="12" customFormat="false" ht="15" hidden="false" customHeight="false" outlineLevel="0" collapsed="false">
      <c r="A12" s="43" t="s">
        <v>115</v>
      </c>
      <c r="B12" s="41" t="s">
        <v>119</v>
      </c>
      <c r="C12" s="43" t="s">
        <v>121</v>
      </c>
      <c r="D12" s="44" t="s">
        <v>122</v>
      </c>
      <c r="E12" s="45" t="s">
        <v>123</v>
      </c>
    </row>
    <row r="13" customFormat="false" ht="15" hidden="false" customHeight="false" outlineLevel="0" collapsed="false">
      <c r="A13" s="23" t="s">
        <v>115</v>
      </c>
      <c r="B13" s="41" t="s">
        <v>119</v>
      </c>
      <c r="C13" s="23" t="s">
        <v>124</v>
      </c>
      <c r="D13" s="24" t="s">
        <v>125</v>
      </c>
      <c r="E13" s="42" t="s">
        <v>126</v>
      </c>
    </row>
    <row r="14" customFormat="false" ht="15" hidden="false" customHeight="false" outlineLevel="0" collapsed="false">
      <c r="A14" s="43" t="s">
        <v>115</v>
      </c>
      <c r="B14" s="41" t="s">
        <v>119</v>
      </c>
      <c r="C14" s="43" t="s">
        <v>46</v>
      </c>
      <c r="D14" s="44" t="s">
        <v>47</v>
      </c>
      <c r="E14" s="45" t="s">
        <v>127</v>
      </c>
    </row>
    <row r="15" customFormat="false" ht="15" hidden="false" customHeight="false" outlineLevel="0" collapsed="false">
      <c r="A15" s="23" t="s">
        <v>115</v>
      </c>
      <c r="B15" s="41" t="s">
        <v>119</v>
      </c>
      <c r="C15" s="23" t="s">
        <v>52</v>
      </c>
      <c r="D15" s="24" t="s">
        <v>53</v>
      </c>
      <c r="E15" s="42" t="s">
        <v>128</v>
      </c>
    </row>
    <row r="16" customFormat="false" ht="17.15" hidden="false" customHeight="false" outlineLevel="0" collapsed="false">
      <c r="A16" s="43" t="s">
        <v>115</v>
      </c>
      <c r="B16" s="41" t="s">
        <v>119</v>
      </c>
      <c r="C16" s="43" t="s">
        <v>129</v>
      </c>
      <c r="D16" s="44" t="s">
        <v>130</v>
      </c>
      <c r="E16" s="45" t="s">
        <v>131</v>
      </c>
    </row>
    <row r="17" customFormat="false" ht="15" hidden="false" customHeight="false" outlineLevel="0" collapsed="false">
      <c r="A17" s="23" t="s">
        <v>115</v>
      </c>
      <c r="B17" s="41" t="s">
        <v>119</v>
      </c>
      <c r="C17" s="23" t="s">
        <v>132</v>
      </c>
      <c r="D17" s="24" t="s">
        <v>133</v>
      </c>
      <c r="E17" s="42" t="s">
        <v>134</v>
      </c>
    </row>
    <row r="18" customFormat="false" ht="15" hidden="false" customHeight="false" outlineLevel="0" collapsed="false">
      <c r="A18" s="43" t="s">
        <v>115</v>
      </c>
      <c r="B18" s="41" t="s">
        <v>119</v>
      </c>
      <c r="C18" s="43" t="s">
        <v>62</v>
      </c>
      <c r="D18" s="44" t="s">
        <v>63</v>
      </c>
      <c r="E18" s="45" t="s">
        <v>135</v>
      </c>
    </row>
    <row r="19" customFormat="false" ht="15" hidden="false" customHeight="false" outlineLevel="0" collapsed="false">
      <c r="A19" s="23" t="s">
        <v>115</v>
      </c>
      <c r="B19" s="41" t="s">
        <v>119</v>
      </c>
      <c r="C19" s="23" t="s">
        <v>43</v>
      </c>
      <c r="D19" s="24" t="s">
        <v>44</v>
      </c>
      <c r="E19" s="42" t="s">
        <v>136</v>
      </c>
    </row>
    <row r="20" customFormat="false" ht="15" hidden="false" customHeight="false" outlineLevel="0" collapsed="false">
      <c r="A20" s="43" t="s">
        <v>115</v>
      </c>
      <c r="B20" s="41" t="s">
        <v>119</v>
      </c>
      <c r="C20" s="43" t="s">
        <v>137</v>
      </c>
      <c r="D20" s="44" t="s">
        <v>138</v>
      </c>
      <c r="E20" s="45" t="s">
        <v>139</v>
      </c>
    </row>
    <row r="21" customFormat="false" ht="15" hidden="false" customHeight="false" outlineLevel="0" collapsed="false">
      <c r="A21" s="23" t="s">
        <v>115</v>
      </c>
      <c r="B21" s="41" t="s">
        <v>119</v>
      </c>
      <c r="C21" s="23" t="s">
        <v>140</v>
      </c>
      <c r="D21" s="24" t="s">
        <v>141</v>
      </c>
      <c r="E21" s="42" t="s">
        <v>142</v>
      </c>
    </row>
    <row r="22" customFormat="false" ht="15" hidden="false" customHeight="false" outlineLevel="0" collapsed="false">
      <c r="A22" s="43" t="s">
        <v>115</v>
      </c>
      <c r="B22" s="41" t="s">
        <v>119</v>
      </c>
      <c r="C22" s="43" t="s">
        <v>55</v>
      </c>
      <c r="D22" s="44" t="s">
        <v>56</v>
      </c>
      <c r="E22" s="45" t="s">
        <v>143</v>
      </c>
    </row>
    <row r="23" customFormat="false" ht="15" hidden="false" customHeight="false" outlineLevel="0" collapsed="false">
      <c r="A23" s="23" t="s">
        <v>115</v>
      </c>
      <c r="B23" s="41" t="s">
        <v>119</v>
      </c>
      <c r="C23" s="23" t="s">
        <v>144</v>
      </c>
      <c r="D23" s="24" t="s">
        <v>145</v>
      </c>
      <c r="E23" s="42" t="s">
        <v>143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29" t="s">
        <v>146</v>
      </c>
      <c r="B1" s="29"/>
      <c r="C1" s="29"/>
      <c r="D1" s="29"/>
      <c r="E1" s="29"/>
    </row>
    <row r="2" customFormat="false" ht="15" hidden="false" customHeight="false" outlineLevel="0" collapsed="false">
      <c r="A2" s="40" t="s">
        <v>95</v>
      </c>
      <c r="B2" s="40"/>
      <c r="C2" s="40"/>
      <c r="D2" s="40"/>
      <c r="E2" s="40"/>
    </row>
    <row r="4" customFormat="false" ht="15" hidden="false" customHeight="false" outlineLevel="0" collapsed="false">
      <c r="A4" s="5" t="s">
        <v>96</v>
      </c>
      <c r="B4" s="5" t="s">
        <v>97</v>
      </c>
      <c r="C4" s="5" t="s">
        <v>34</v>
      </c>
      <c r="D4" s="5" t="s">
        <v>35</v>
      </c>
      <c r="E4" s="5" t="s">
        <v>98</v>
      </c>
    </row>
    <row r="5" customFormat="false" ht="15" hidden="false" customHeight="false" outlineLevel="0" collapsed="false">
      <c r="A5" s="23" t="s">
        <v>99</v>
      </c>
      <c r="B5" s="41" t="s">
        <v>119</v>
      </c>
      <c r="C5" s="23" t="s">
        <v>147</v>
      </c>
      <c r="D5" s="24" t="s">
        <v>148</v>
      </c>
      <c r="E5" s="49" t="s">
        <v>149</v>
      </c>
    </row>
    <row r="6" customFormat="false" ht="15" hidden="false" customHeight="false" outlineLevel="0" collapsed="false">
      <c r="A6" s="43" t="s">
        <v>99</v>
      </c>
      <c r="B6" s="41" t="s">
        <v>119</v>
      </c>
      <c r="C6" s="43" t="s">
        <v>62</v>
      </c>
      <c r="D6" s="44" t="s">
        <v>63</v>
      </c>
      <c r="E6" s="45" t="s">
        <v>150</v>
      </c>
    </row>
    <row r="7" customFormat="false" ht="17.15" hidden="false" customHeight="false" outlineLevel="0" collapsed="false">
      <c r="A7" s="23" t="s">
        <v>111</v>
      </c>
      <c r="B7" s="41" t="s">
        <v>119</v>
      </c>
      <c r="C7" s="23" t="s">
        <v>151</v>
      </c>
      <c r="D7" s="24" t="s">
        <v>152</v>
      </c>
      <c r="E7" s="49" t="s">
        <v>153</v>
      </c>
    </row>
    <row r="8" customFormat="false" ht="15" hidden="false" customHeight="false" outlineLevel="0" collapsed="false">
      <c r="A8" s="43" t="s">
        <v>111</v>
      </c>
      <c r="B8" s="41" t="s">
        <v>119</v>
      </c>
      <c r="C8" s="43" t="s">
        <v>66</v>
      </c>
      <c r="D8" s="44" t="s">
        <v>67</v>
      </c>
      <c r="E8" s="48" t="s">
        <v>154</v>
      </c>
    </row>
    <row r="9" customFormat="false" ht="15" hidden="false" customHeight="false" outlineLevel="0" collapsed="false">
      <c r="A9" s="23" t="s">
        <v>115</v>
      </c>
      <c r="B9" s="41" t="s">
        <v>119</v>
      </c>
      <c r="C9" s="23" t="s">
        <v>68</v>
      </c>
      <c r="D9" s="24" t="s">
        <v>69</v>
      </c>
      <c r="E9" s="42" t="s">
        <v>155</v>
      </c>
    </row>
    <row r="10" customFormat="false" ht="15" hidden="false" customHeight="false" outlineLevel="0" collapsed="false">
      <c r="A10" s="43" t="s">
        <v>156</v>
      </c>
      <c r="B10" s="41" t="s">
        <v>119</v>
      </c>
      <c r="C10" s="43" t="s">
        <v>157</v>
      </c>
      <c r="D10" s="44" t="s">
        <v>158</v>
      </c>
      <c r="E10" s="45" t="s">
        <v>159</v>
      </c>
    </row>
    <row r="11" customFormat="false" ht="15" hidden="false" customHeight="false" outlineLevel="0" collapsed="false">
      <c r="A11" s="23" t="s">
        <v>156</v>
      </c>
      <c r="B11" s="41" t="s">
        <v>119</v>
      </c>
      <c r="C11" s="23" t="s">
        <v>72</v>
      </c>
      <c r="D11" s="24" t="s">
        <v>73</v>
      </c>
      <c r="E11" s="42" t="s">
        <v>160</v>
      </c>
    </row>
    <row r="12" customFormat="false" ht="15" hidden="false" customHeight="false" outlineLevel="0" collapsed="false">
      <c r="A12" s="43" t="s">
        <v>156</v>
      </c>
      <c r="B12" s="41" t="s">
        <v>119</v>
      </c>
      <c r="C12" s="43" t="s">
        <v>60</v>
      </c>
      <c r="D12" s="44" t="s">
        <v>61</v>
      </c>
      <c r="E12" s="45" t="s">
        <v>160</v>
      </c>
    </row>
    <row r="13" customFormat="false" ht="15" hidden="false" customHeight="false" outlineLevel="0" collapsed="false">
      <c r="A13" s="23" t="s">
        <v>161</v>
      </c>
      <c r="B13" s="50" t="s">
        <v>162</v>
      </c>
      <c r="C13" s="23" t="s">
        <v>39</v>
      </c>
      <c r="D13" s="24" t="s">
        <v>40</v>
      </c>
      <c r="E13" s="49" t="s">
        <v>163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5"/>
  </cols>
  <sheetData>
    <row r="1" customFormat="false" ht="27.75" hidden="false" customHeight="true" outlineLevel="0" collapsed="false">
      <c r="A1" s="30" t="s">
        <v>164</v>
      </c>
      <c r="B1" s="30"/>
    </row>
    <row r="3" customFormat="false" ht="15" hidden="false" customHeight="false" outlineLevel="0" collapsed="false">
      <c r="A3" s="51" t="s">
        <v>165</v>
      </c>
      <c r="B3" s="52" t="s">
        <v>166</v>
      </c>
    </row>
    <row r="4" customFormat="false" ht="15" hidden="false" customHeight="false" outlineLevel="0" collapsed="false">
      <c r="A4" s="51" t="s">
        <v>167</v>
      </c>
      <c r="B4" s="52" t="s">
        <v>168</v>
      </c>
    </row>
    <row r="5" customFormat="false" ht="15" hidden="false" customHeight="false" outlineLevel="0" collapsed="false">
      <c r="A5" s="51" t="s">
        <v>169</v>
      </c>
      <c r="B5" s="52" t="s">
        <v>170</v>
      </c>
    </row>
    <row r="6" customFormat="false" ht="15" hidden="false" customHeight="false" outlineLevel="0" collapsed="false">
      <c r="A6" s="51" t="s">
        <v>171</v>
      </c>
      <c r="B6" s="53" t="s">
        <v>172</v>
      </c>
    </row>
    <row r="7" customFormat="false" ht="15" hidden="false" customHeight="false" outlineLevel="0" collapsed="false">
      <c r="A7" s="51" t="s">
        <v>173</v>
      </c>
      <c r="B7" s="53" t="s">
        <v>174</v>
      </c>
    </row>
    <row r="8" customFormat="false" ht="15" hidden="false" customHeight="false" outlineLevel="0" collapsed="false">
      <c r="A8" s="54"/>
      <c r="B8" s="52"/>
    </row>
    <row r="9" customFormat="false" ht="15" hidden="false" customHeight="false" outlineLevel="0" collapsed="false">
      <c r="A9" s="51" t="s">
        <v>175</v>
      </c>
      <c r="B9" s="53" t="s">
        <v>176</v>
      </c>
    </row>
    <row r="10" customFormat="false" ht="15" hidden="false" customHeight="false" outlineLevel="0" collapsed="false">
      <c r="A10" s="51" t="s">
        <v>177</v>
      </c>
      <c r="B10" s="52" t="s">
        <v>178</v>
      </c>
    </row>
    <row r="11" customFormat="false" ht="15" hidden="false" customHeight="false" outlineLevel="0" collapsed="false">
      <c r="A11" s="51" t="s">
        <v>179</v>
      </c>
      <c r="B11" s="53" t="s">
        <v>180</v>
      </c>
    </row>
    <row r="12" customFormat="false" ht="15" hidden="false" customHeight="false" outlineLevel="0" collapsed="false">
      <c r="A12" s="51" t="s">
        <v>181</v>
      </c>
      <c r="B12" s="52" t="s">
        <v>182</v>
      </c>
    </row>
    <row r="13" customFormat="false" ht="15" hidden="false" customHeight="false" outlineLevel="0" collapsed="false">
      <c r="A13" s="51" t="s">
        <v>183</v>
      </c>
      <c r="B13" s="53" t="s">
        <v>184</v>
      </c>
    </row>
    <row r="14" customFormat="false" ht="15" hidden="false" customHeight="false" outlineLevel="0" collapsed="false">
      <c r="A14" s="51" t="s">
        <v>185</v>
      </c>
      <c r="B14" s="52" t="s">
        <v>186</v>
      </c>
    </row>
    <row r="15" customFormat="false" ht="15" hidden="false" customHeight="false" outlineLevel="0" collapsed="false">
      <c r="A15" s="54"/>
      <c r="B15" s="52"/>
    </row>
    <row r="16" customFormat="false" ht="15" hidden="false" customHeight="false" outlineLevel="0" collapsed="false">
      <c r="A16" s="55" t="s">
        <v>187</v>
      </c>
      <c r="B16" s="52" t="s">
        <v>188</v>
      </c>
    </row>
    <row r="17" customFormat="false" ht="15" hidden="false" customHeight="false" outlineLevel="0" collapsed="false">
      <c r="A17" s="55" t="s">
        <v>189</v>
      </c>
      <c r="B17" s="53" t="s">
        <v>190</v>
      </c>
    </row>
    <row r="18" customFormat="false" ht="15" hidden="false" customHeight="false" outlineLevel="0" collapsed="false">
      <c r="A18" s="51" t="s">
        <v>191</v>
      </c>
      <c r="B18" s="53" t="s">
        <v>192</v>
      </c>
    </row>
    <row r="19" customFormat="false" ht="15" hidden="false" customHeight="false" outlineLevel="0" collapsed="false">
      <c r="A19" s="54"/>
      <c r="B19" s="52"/>
    </row>
    <row r="20" customFormat="false" ht="15" hidden="false" customHeight="false" outlineLevel="0" collapsed="false">
      <c r="A20" s="51" t="s">
        <v>193</v>
      </c>
      <c r="B20" s="53" t="s">
        <v>194</v>
      </c>
    </row>
    <row r="21" customFormat="false" ht="15" hidden="false" customHeight="false" outlineLevel="0" collapsed="false">
      <c r="A21" s="54"/>
      <c r="B21" s="52"/>
    </row>
    <row r="22" customFormat="false" ht="15" hidden="false" customHeight="false" outlineLevel="0" collapsed="false">
      <c r="A22" s="51" t="s">
        <v>195</v>
      </c>
      <c r="B22" s="56" t="s">
        <v>196</v>
      </c>
    </row>
    <row r="23" customFormat="false" ht="15" hidden="false" customHeight="false" outlineLevel="0" collapsed="false">
      <c r="A23" s="54"/>
      <c r="B23" s="53" t="s">
        <v>197</v>
      </c>
    </row>
    <row r="24" customFormat="false" ht="15" hidden="false" customHeight="false" outlineLevel="0" collapsed="false">
      <c r="A24" s="54"/>
      <c r="B24" s="53" t="s">
        <v>198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2026-04-24T08:57:22Z</dcterms:created>
  <dc:creator>openpyxl</dc:creator>
  <dc:description/>
  <dc:language>en-US</dc:language>
  <cp:lastModifiedBy/>
  <dcterms:modified xsi:type="dcterms:W3CDTF">2026-04-24T08:57:22Z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